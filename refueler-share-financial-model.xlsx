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Projection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<sst xmlns="http://schemas.openxmlformats.org/spreadsheetml/2006/main" count="186" uniqueCount="168">
  <si>
    <t xml:space="preserve">REFUELER SHARE — FINANCIAL MODEL DASHBOARD</t>
  </si>
  <si>
    <t xml:space="preserve">KPIs pull live from the Projection sheet. Change assumptions → numbers update here.</t>
  </si>
  <si>
    <t xml:space="preserve">Paying subscribers at Month 36</t>
  </si>
  <si>
    <t xml:space="preserve">ARR at Month 36</t>
  </si>
  <si>
    <t xml:space="preserve">Monthly revenue at M36</t>
  </si>
  <si>
    <t xml:space="preserve">Gross margin at M36</t>
  </si>
  <si>
    <t xml:space="preserve">Monthly operating profit at M36</t>
  </si>
  <si>
    <t xml:space="preserve">Cumulative P&amp;L at Month 36</t>
  </si>
  <si>
    <t xml:space="preserve">ARR vs £2.1M target at M36</t>
  </si>
  <si>
    <t xml:space="preserve">Fixed costs per month</t>
  </si>
  <si>
    <t xml:space="preserve">MODEL PARAMETERS (SUMMARY)</t>
  </si>
  <si>
    <t xml:space="preserve">Tier pricing</t>
  </si>
  <si>
    <t xml:space="preserve">Creative Premium £12/mo  |  Production Max £24/mo</t>
  </si>
  <si>
    <t xml:space="preserve">Tier mix</t>
  </si>
  <si>
    <t xml:space="preserve">80% Production Max / 20% Creative Premium</t>
  </si>
  <si>
    <t xml:space="preserve">Acquisition growth</t>
  </si>
  <si>
    <t xml:space="preserve">18%/mo (base case = target scenario). Sensitivity: 14%→£648k ARR, 18%→£2.1M, 20%→£3.7M</t>
  </si>
  <si>
    <t xml:space="preserve">Monthly churn</t>
  </si>
  <si>
    <t xml:space="preserve">3.0% of existing base</t>
  </si>
  <si>
    <t xml:space="preserve">Founder salary</t>
  </si>
  <si>
    <t xml:space="preserve">£5,000/mo from Month 25 (Oct 2028)</t>
  </si>
  <si>
    <t xml:space="preserve">First hire</t>
  </si>
  <si>
    <t xml:space="preserve">£4,500/mo when paying subs reach 100</t>
  </si>
  <si>
    <t xml:space="preserve">Fixed infra / month</t>
  </si>
  <si>
    <t xml:space="preserve">£54.84 (Cloudflare, Hetzner, Supabase free, Tuta, Mullvad, Claude, domain, Apple)</t>
  </si>
  <si>
    <t xml:space="preserve">£2.1M ARR target</t>
  </si>
  <si>
    <t xml:space="preserve">~8,750 subscribers needed at blended ARPU £240</t>
  </si>
  <si>
    <t xml:space="preserve">Sensitivity sheet</t>
  </si>
  <si>
    <t xml:space="preserve">Vary acquisition growth (8%–25%/mo) and churn (1%–5%) to see range of outcomes</t>
  </si>
  <si>
    <t xml:space="preserve">Modelling revenue</t>
  </si>
  <si>
    <t xml:space="preserve">P&amp;L shown — profit line includes salary + first hire from trigger points</t>
  </si>
  <si>
    <t xml:space="preserve">REFUELER SHARE — FINANCIAL MODEL  |  All GBP  |  Blue = editable input</t>
  </si>
  <si>
    <t xml:space="preserve">Model: Oct 2026 – Sep 2029 (36 months)  |  Growth model: new subscriber acquisition grows monthly, churn applied to base</t>
  </si>
  <si>
    <t xml:space="preserve">§1  PRICING</t>
  </si>
  <si>
    <t xml:space="preserve">Creative Premium — monthly price (£)</t>
  </si>
  <si>
    <t xml:space="preserve">User-confirmed</t>
  </si>
  <si>
    <t xml:space="preserve">Production Max — monthly price (£)</t>
  </si>
  <si>
    <t xml:space="preserve">§2  SUBSCRIBER GROWTH MODEL</t>
  </si>
  <si>
    <t xml:space="preserve">Model: new subscriber ACQUISITION starts at Month 1 target and grows at g%/mo. Churn applied to base each month.</t>
  </si>
  <si>
    <t xml:space="preserve">Month 1 new subscribers acquired</t>
  </si>
  <si>
    <t xml:space="preserve">Post-btc++ Berlin conservative start</t>
  </si>
  <si>
    <t xml:space="preserve">Monthly growth in NEW acquisition (% of prior month acquis.)</t>
  </si>
  <si>
    <t xml:space="preserve">18%/mo growth in acquisition → ~8,800 subs by M36 at 3% churn = £2.1M ARR. See sensitivity.</t>
  </si>
  <si>
    <t xml:space="preserve">Monthly churn rate (% of existing base)</t>
  </si>
  <si>
    <t xml:space="preserve">Mid-range SaaS benchmark 2–5%</t>
  </si>
  <si>
    <t xml:space="preserve">Note: 18%/mo means new-signup acquisitions compound monthly (5→6→7→...→43 new/mo at M12→218 new/mo at M24). Churn pulls against this. At 15%/mo you reach ~£648k ARR; at 18% you hit £2.1M; at 20% you reach £3.7M. Sensitivity sheet shows full range.</t>
  </si>
  <si>
    <t xml:space="preserve">§3  TIER &amp; PAYMENT MIX</t>
  </si>
  <si>
    <t xml:space="preserve">Production Max share of paying subscribers</t>
  </si>
  <si>
    <t xml:space="preserve">80/20 — user-confirmed</t>
  </si>
  <si>
    <t xml:space="preserve">Creative Premium share</t>
  </si>
  <si>
    <t xml:space="preserve">Complement of PM share</t>
  </si>
  <si>
    <t xml:space="preserve">Stripe share of payments</t>
  </si>
  <si>
    <t xml:space="preserve">70% Stripe / 30% Lightning initially</t>
  </si>
  <si>
    <t xml:space="preserve">Lightning share of payments</t>
  </si>
  <si>
    <t xml:space="preserve">Complement</t>
  </si>
  <si>
    <t xml:space="preserve">§4  FIXED INFRASTRUCTURE COSTS</t>
  </si>
  <si>
    <t xml:space="preserve">Cloudflare Workers Paid (£/mo)</t>
  </si>
  <si>
    <t xml:space="preserve">Workers + KV</t>
  </si>
  <si>
    <t xml:space="preserve">Cloudflare KV add-on (£/mo)</t>
  </si>
  <si>
    <t xml:space="preserve">Hetzner CAX21 (£/mo)</t>
  </si>
  <si>
    <t xml:space="preserve">€5.77 ≈ £5; phoenixd + LNbits</t>
  </si>
  <si>
    <t xml:space="preserve">Supabase (£/mo)</t>
  </si>
  <si>
    <t xml:space="preserve">Free tier — billing ledger only</t>
  </si>
  <si>
    <t xml:space="preserve">Tutamail (£/mo)</t>
  </si>
  <si>
    <t xml:space="preserve">Mullvad VPN (£/mo)</t>
  </si>
  <si>
    <t xml:space="preserve">Claude AI (£/mo)</t>
  </si>
  <si>
    <t xml:space="preserve">Domain + hosting (£/mo equiv)</t>
  </si>
  <si>
    <t xml:space="preserve">$50/yr ÷ 12</t>
  </si>
  <si>
    <t xml:space="preserve">Apple Dev Programme (£/mo equiv)</t>
  </si>
  <si>
    <t xml:space="preserve">£80/yr ÷ 12</t>
  </si>
  <si>
    <t xml:space="preserve">§5  VARIABLE COSTS PER SUBSCRIBER (REALISTIC)</t>
  </si>
  <si>
    <t xml:space="preserve">Creative Premium infra cost/user/mo (£, incl. Stripe)</t>
  </si>
  <si>
    <t xml:space="preserve">Per briefing</t>
  </si>
  <si>
    <t xml:space="preserve">Production Max infra cost/user/mo (£, incl. Stripe)</t>
  </si>
  <si>
    <t xml:space="preserve">§6  FOUNDER SALARY</t>
  </si>
  <si>
    <t xml:space="preserve">Founder salary start (month number, 1–36)</t>
  </si>
  <si>
    <t xml:space="preserve">Month 25 = Oct 2028</t>
  </si>
  <si>
    <t xml:space="preserve">Founder monthly salary (£)</t>
  </si>
  <si>
    <t xml:space="preserve">£60k/yr — user-confirmed</t>
  </si>
  <si>
    <t xml:space="preserve">§7  FIRST HIRE</t>
  </si>
  <si>
    <t xml:space="preserve">First hire trigger — paying subscriber count</t>
  </si>
  <si>
    <t xml:space="preserve">First hire monthly cost (£, all-in)</t>
  </si>
  <si>
    <t xml:space="preserve">Placeholder — update when real</t>
  </si>
  <si>
    <t xml:space="preserve">§8  TARGETS</t>
  </si>
  <si>
    <t xml:space="preserve">ARR target (£)</t>
  </si>
  <si>
    <t xml:space="preserve">Subscriber count at target ARR</t>
  </si>
  <si>
    <t xml:space="preserve">80/20 blend implies ~£240 ARPU</t>
  </si>
  <si>
    <t xml:space="preserve">REFUELER SHARE — 36-MONTH PROJECTION  (Oct 2026 – Sep 2029)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</si>
  <si>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</si>
  <si>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</si>
  <si>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</si>
  <si>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</si>
  <si>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</si>
  <si>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</si>
  <si>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</si>
  <si>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</si>
  <si>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</si>
  <si>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</si>
  <si>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</si>
  <si>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</si>
  <si>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</si>
  <si>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</si>
  <si>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</si>
  <si>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</si>
  <si>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</si>
  <si>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</si>
  <si>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</si>
  <si>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</si>
  <si>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</si>
  <si>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</si>
  <si>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</si>
  <si>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Sep-28</t>
  </si>
  <si>
    <t xml:space="preserve">Oct-28</t>
  </si>
  <si>
    <t xml:space="preserve">Nov-28</t>
  </si>
  <si>
    <t xml:space="preserve">Dec-28</t>
  </si>
  <si>
    <t xml:space="preserve">Jan-29</t>
  </si>
  <si>
    <t xml:space="preserve">Feb-29</t>
  </si>
  <si>
    <t xml:space="preserve">Mar-29</t>
  </si>
  <si>
    <t xml:space="preserve">Apr-29</t>
  </si>
  <si>
    <t xml:space="preserve">May-29</t>
  </si>
  <si>
    <t xml:space="preserve">Jun-29</t>
  </si>
  <si>
    <t xml:space="preserve">Jul-29</t>
  </si>
  <si>
    <t xml:space="preserve">Aug-29</t>
  </si>
  <si>
    <t xml:space="preserve">Sep-29</t>
  </si>
  <si>
    <t xml:space="preserve">Month #</t>
  </si>
  <si>
    <t xml:space="preserve">§1  SUBSCRIBERS</t>
  </si>
  <si>
    <t xml:space="preserve">New subscriber acquisition (this month)</t>
  </si>
  <si>
    <t xml:space="preserve">  Churned from existing base</t>
  </si>
  <si>
    <t xml:space="preserve">Total paying subscribers (EOM)</t>
  </si>
  <si>
    <t xml:space="preserve">  → Production Max</t>
  </si>
  <si>
    <t xml:space="preserve">  → Creative Premium</t>
  </si>
  <si>
    <t xml:space="preserve">§2  REVENUE</t>
  </si>
  <si>
    <t xml:space="preserve">  Production Max (£)</t>
  </si>
  <si>
    <t xml:space="preserve">  Creative Premium (£)</t>
  </si>
  <si>
    <t xml:space="preserve">Total monthly revenue (£)</t>
  </si>
  <si>
    <t xml:space="preserve">  → ARR run-rate (£)</t>
  </si>
  <si>
    <t xml:space="preserve">§3  GROSS PROFIT</t>
  </si>
  <si>
    <t xml:space="preserve">  Fixed infra (£/mo)</t>
  </si>
  <si>
    <t xml:space="preserve">  Variable — PM users (£)</t>
  </si>
  <si>
    <t xml:space="preserve">  Variable — CP users (£)</t>
  </si>
  <si>
    <t xml:space="preserve">Total COGS (£)</t>
  </si>
  <si>
    <t xml:space="preserve">Gross profit (£)</t>
  </si>
  <si>
    <t xml:space="preserve">Gross margin %</t>
  </si>
  <si>
    <t xml:space="preserve">§4  OPEX</t>
  </si>
  <si>
    <t xml:space="preserve">  Founder salary (£/mo, from trigger month)</t>
  </si>
  <si>
    <t xml:space="preserve">  First hire (£/mo, from trigger subscriber count)</t>
  </si>
  <si>
    <t xml:space="preserve">Total OpEx (£)</t>
  </si>
  <si>
    <t xml:space="preserve">§5  OPERATING PROFIT</t>
  </si>
  <si>
    <t xml:space="preserve">Monthly operating profit/(loss) (£)</t>
  </si>
  <si>
    <t xml:space="preserve">  Cumulative (£)</t>
  </si>
  <si>
    <t xml:space="preserve">§6  MILESTONES</t>
  </si>
  <si>
    <t xml:space="preserve">  ARR as % of £2.1M target</t>
  </si>
  <si>
    <t xml:space="preserve">  Break-even this month?</t>
  </si>
  <si>
    <t xml:space="preserve">SENSITIVITY — Subscribers &amp; ARR at Month 36 under varying acquisition growth &amp; churn</t>
  </si>
  <si>
    <t xml:space="preserve">Static table. All scenarios: M1 acquisition = 5, 80/20 PM/CP split. GREEN = hits £2.1M ARR target. AMBER = £1M+. RED = below £1M.</t>
  </si>
  <si>
    <t xml:space="preserve">SUBS AT M36   Churn ↓ / Acq growth →</t>
  </si>
  <si>
    <t xml:space="preserve">Acq +14%/mo</t>
  </si>
  <si>
    <t xml:space="preserve">Acq +16%/mo</t>
  </si>
  <si>
    <t xml:space="preserve">Acq +18%/mo ← BASE</t>
  </si>
  <si>
    <t xml:space="preserve">Acq +20%/mo</t>
  </si>
  <si>
    <t xml:space="preserve">Acq +25%/mo</t>
  </si>
  <si>
    <t xml:space="preserve">Churn 1%/mo</t>
  </si>
  <si>
    <t xml:space="preserve">Churn 2%/mo</t>
  </si>
  <si>
    <t xml:space="preserve">Churn 3%/mo</t>
  </si>
  <si>
    <t xml:space="preserve">Churn 4%/mo</t>
  </si>
  <si>
    <t xml:space="preserve">Churn 5%/mo</t>
  </si>
  <si>
    <t xml:space="preserve">ARR AT MONTH 36 (£)</t>
  </si>
  <si>
    <t xml:space="preserve">ARR (£) AT M36   Churn ↓ / Acq growth →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</si>
</sst>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£#,##0"/>
    <numFmt numFmtId="167" formatCode="0.0%"/>
    <numFmt numFmtId="168" formatCode="\£#,##0.00"/>
    <numFmt numFmtId="169" formatCode="0%"/>
    <numFmt numFmtId="170" formatCode="#,##0;\(#,##0\);\-"/>
    <numFmt numFmtId="171" formatCode="\£#,##0;&quot;(£&quot;#,##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4"/>
      <color rgb="FFC8A96E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AAAAAA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7D5A0A"/>
      <name val="Arial"/>
      <family val="0"/>
      <charset val="1"/>
    </font>
    <font>
      <b val="true"/>
      <sz val="10"/>
      <color rgb="FF1A5C2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F5F5"/>
        <bgColor rgb="FFFAFAFA"/>
      </patternFill>
    </fill>
    <fill>
      <patternFill patternType="solid">
        <fgColor rgb="FFFFF2CC"/>
        <bgColor rgb="FFF2EDE5"/>
      </patternFill>
    </fill>
    <fill>
      <patternFill patternType="solid">
        <fgColor rgb="FFFAFAFA"/>
        <bgColor rgb="FFFFFFFF"/>
      </patternFill>
    </fill>
    <fill>
      <patternFill patternType="solid">
        <fgColor rgb="FFC8A96E"/>
        <bgColor rgb="FFAAAAAA"/>
      </patternFill>
    </fill>
    <fill>
      <patternFill patternType="solid">
        <fgColor rgb="FFF2EDE5"/>
        <bgColor rgb="FFF5F5F5"/>
      </patternFill>
    </fill>
    <fill>
      <patternFill patternType="solid">
        <fgColor rgb="FFFFC7CE"/>
        <bgColor rgb="FFCCCCCC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F2E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2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3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2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3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A5C2A"/>
      <rgbColor rgb="FF000080"/>
      <rgbColor rgb="FF7D5A0A"/>
      <rgbColor rgb="FF800080"/>
      <rgbColor rgb="FF008080"/>
      <rgbColor rgb="FFCCCCCC"/>
      <rgbColor rgb="FF888888"/>
      <rgbColor rgb="FF9999FF"/>
      <rgbColor rgb="FF993366"/>
      <rgbColor rgb="FFFFF2CC"/>
      <rgbColor rgb="FFF5F5F5"/>
      <rgbColor rgb="FF660066"/>
      <rgbColor rgb="FFC8A96E"/>
      <rgbColor rgb="FF0066CC"/>
      <rgbColor rgb="FFF2E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</row>
    <row r="4" customFormat="false" ht="1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0" hidden="false" customHeight="true" outlineLevel="0" collapsed="false">
      <c r="A5" s="5" t="n">
        <f aca="false">Projection!AK7</f>
        <v>8801</v>
      </c>
      <c r="B5" s="6" t="n">
        <f aca="false">Projection!AK14</f>
        <v>2281248</v>
      </c>
      <c r="C5" s="7" t="n">
        <f aca="false">Projection!AK13</f>
        <v>190104</v>
      </c>
      <c r="D5" s="8" t="n">
        <f aca="false">Projection!AK21</f>
        <v>0.918414762445819</v>
      </c>
    </row>
    <row r="7" customFormat="false" ht="13.5" hidden="false" customHeight="tru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30" hidden="false" customHeight="true" outlineLevel="0" collapsed="false">
      <c r="A8" s="6" t="n">
        <f aca="false">Projection!AK27</f>
        <v>165094.32</v>
      </c>
      <c r="B8" s="7" t="n">
        <f aca="false">Projection!AK28</f>
        <v>947722.4</v>
      </c>
      <c r="C8" s="8" t="n">
        <f aca="false">Projection!AK30</f>
        <v>1.08630857142857</v>
      </c>
      <c r="D8" s="7" t="n">
        <f aca="false">Projection!B16</f>
        <v>54.84</v>
      </c>
    </row>
    <row r="10" customFormat="false" ht="9.75" hidden="false" customHeight="true" outlineLevel="0" collapsed="false"/>
    <row r="11" customFormat="false" ht="19.5" hidden="false" customHeight="true" outlineLevel="0" collapsed="false">
      <c r="A11" s="9" t="s">
        <v>10</v>
      </c>
      <c r="B11" s="9"/>
      <c r="C11" s="9"/>
      <c r="D11" s="9"/>
      <c r="E11" s="9"/>
    </row>
    <row r="12" customFormat="false" ht="18" hidden="false" customHeight="true" outlineLevel="0" collapsed="false">
      <c r="A12" s="10" t="s">
        <v>11</v>
      </c>
      <c r="B12" s="11" t="s">
        <v>12</v>
      </c>
      <c r="C12" s="11"/>
      <c r="D12" s="11"/>
      <c r="E12" s="11"/>
    </row>
    <row r="13" customFormat="false" ht="18" hidden="false" customHeight="true" outlineLevel="0" collapsed="false">
      <c r="A13" s="10" t="s">
        <v>13</v>
      </c>
      <c r="B13" s="11" t="s">
        <v>14</v>
      </c>
      <c r="C13" s="11"/>
      <c r="D13" s="11"/>
      <c r="E13" s="11"/>
    </row>
    <row r="14" customFormat="false" ht="18" hidden="false" customHeight="true" outlineLevel="0" collapsed="false">
      <c r="A14" s="10" t="s">
        <v>15</v>
      </c>
      <c r="B14" s="11" t="s">
        <v>16</v>
      </c>
      <c r="C14" s="11"/>
      <c r="D14" s="11"/>
      <c r="E14" s="11"/>
    </row>
    <row r="15" customFormat="false" ht="18" hidden="false" customHeight="true" outlineLevel="0" collapsed="false">
      <c r="A15" s="10" t="s">
        <v>17</v>
      </c>
      <c r="B15" s="11" t="s">
        <v>18</v>
      </c>
      <c r="C15" s="11"/>
      <c r="D15" s="11"/>
      <c r="E15" s="11"/>
    </row>
    <row r="16" customFormat="false" ht="18" hidden="false" customHeight="true" outlineLevel="0" collapsed="false">
      <c r="A16" s="10" t="s">
        <v>19</v>
      </c>
      <c r="B16" s="11" t="s">
        <v>20</v>
      </c>
      <c r="C16" s="11"/>
      <c r="D16" s="11"/>
      <c r="E16" s="11"/>
    </row>
    <row r="17" customFormat="false" ht="18" hidden="false" customHeight="true" outlineLevel="0" collapsed="false">
      <c r="A17" s="10" t="s">
        <v>21</v>
      </c>
      <c r="B17" s="11" t="s">
        <v>22</v>
      </c>
      <c r="C17" s="11"/>
      <c r="D17" s="11"/>
      <c r="E17" s="11"/>
    </row>
    <row r="18" customFormat="false" ht="18" hidden="false" customHeight="true" outlineLevel="0" collapsed="false">
      <c r="A18" s="10" t="s">
        <v>23</v>
      </c>
      <c r="B18" s="11" t="s">
        <v>24</v>
      </c>
      <c r="C18" s="11"/>
      <c r="D18" s="11"/>
      <c r="E18" s="11"/>
    </row>
    <row r="19" customFormat="false" ht="18" hidden="false" customHeight="true" outlineLevel="0" collapsed="false">
      <c r="A19" s="10" t="s">
        <v>25</v>
      </c>
      <c r="B19" s="11" t="s">
        <v>26</v>
      </c>
      <c r="C19" s="11"/>
      <c r="D19" s="11"/>
      <c r="E19" s="11"/>
    </row>
    <row r="20" customFormat="false" ht="18" hidden="false" customHeight="true" outlineLevel="0" collapsed="false">
      <c r="A20" s="10" t="s">
        <v>27</v>
      </c>
      <c r="B20" s="11" t="s">
        <v>28</v>
      </c>
      <c r="C20" s="11"/>
      <c r="D20" s="11"/>
      <c r="E20" s="11"/>
    </row>
    <row r="21" customFormat="false" ht="18" hidden="false" customHeight="true" outlineLevel="0" collapsed="false">
      <c r="A21" s="10" t="s">
        <v>29</v>
      </c>
      <c r="B21" s="11" t="s">
        <v>30</v>
      </c>
      <c r="C21" s="11"/>
      <c r="D21" s="11"/>
      <c r="E21" s="11"/>
    </row>
  </sheetData>
  <mergeCells count="13">
    <mergeCell ref="A1:E1"/>
    <mergeCell ref="A2:E2"/>
    <mergeCell ref="A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36"/>
  </cols>
  <sheetData>
    <row r="1" customFormat="false" ht="25.5" hidden="false" customHeight="true" outlineLevel="0" collapsed="false">
      <c r="A1" s="12" t="s">
        <v>31</v>
      </c>
      <c r="B1" s="12"/>
      <c r="C1" s="12"/>
    </row>
    <row r="2" customFormat="false" ht="15.75" hidden="false" customHeight="true" outlineLevel="0" collapsed="false">
      <c r="A2" s="3" t="s">
        <v>32</v>
      </c>
      <c r="B2" s="3"/>
      <c r="C2" s="3"/>
    </row>
    <row r="3" customFormat="false" ht="18" hidden="false" customHeight="true" outlineLevel="0" collapsed="false">
      <c r="A3" s="13" t="s">
        <v>33</v>
      </c>
      <c r="B3" s="13"/>
      <c r="C3" s="13"/>
    </row>
    <row r="4" customFormat="false" ht="15.75" hidden="false" customHeight="true" outlineLevel="0" collapsed="false">
      <c r="A4" s="14" t="s">
        <v>34</v>
      </c>
      <c r="B4" s="15" t="n">
        <v>12</v>
      </c>
      <c r="C4" s="16" t="s">
        <v>35</v>
      </c>
    </row>
    <row r="5" customFormat="false" ht="15.75" hidden="false" customHeight="true" outlineLevel="0" collapsed="false">
      <c r="A5" s="14" t="s">
        <v>36</v>
      </c>
      <c r="B5" s="15" t="n">
        <v>24</v>
      </c>
      <c r="C5" s="16" t="s">
        <v>35</v>
      </c>
    </row>
    <row r="7" customFormat="false" ht="18" hidden="false" customHeight="true" outlineLevel="0" collapsed="false">
      <c r="A7" s="13" t="s">
        <v>37</v>
      </c>
      <c r="B7" s="13"/>
      <c r="C7" s="13"/>
    </row>
    <row r="8" customFormat="false" ht="13.5" hidden="false" customHeight="true" outlineLevel="0" collapsed="false">
      <c r="A8" s="3" t="s">
        <v>38</v>
      </c>
      <c r="B8" s="3"/>
      <c r="C8" s="3"/>
    </row>
    <row r="9" customFormat="false" ht="15.75" hidden="false" customHeight="true" outlineLevel="0" collapsed="false">
      <c r="A9" s="14" t="s">
        <v>39</v>
      </c>
      <c r="B9" s="17" t="n">
        <v>5</v>
      </c>
      <c r="C9" s="16" t="s">
        <v>40</v>
      </c>
    </row>
    <row r="10" customFormat="false" ht="15.75" hidden="false" customHeight="true" outlineLevel="0" collapsed="false">
      <c r="A10" s="14" t="s">
        <v>41</v>
      </c>
      <c r="B10" s="18" t="n">
        <v>0.18</v>
      </c>
      <c r="C10" s="16" t="s">
        <v>42</v>
      </c>
    </row>
    <row r="11" customFormat="false" ht="15.75" hidden="false" customHeight="true" outlineLevel="0" collapsed="false">
      <c r="A11" s="14" t="s">
        <v>43</v>
      </c>
      <c r="B11" s="19" t="n">
        <v>0.03</v>
      </c>
      <c r="C11" s="16" t="s">
        <v>44</v>
      </c>
    </row>
    <row r="12" customFormat="false" ht="36" hidden="false" customHeight="true" outlineLevel="0" collapsed="false">
      <c r="A12" s="20" t="s">
        <v>45</v>
      </c>
      <c r="B12" s="20"/>
      <c r="C12" s="20"/>
    </row>
    <row r="14" customFormat="false" ht="18" hidden="false" customHeight="true" outlineLevel="0" collapsed="false">
      <c r="A14" s="13" t="s">
        <v>46</v>
      </c>
      <c r="B14" s="13"/>
      <c r="C14" s="13"/>
    </row>
    <row r="15" customFormat="false" ht="15.75" hidden="false" customHeight="true" outlineLevel="0" collapsed="false">
      <c r="A15" s="14" t="s">
        <v>47</v>
      </c>
      <c r="B15" s="18" t="n">
        <v>0.8</v>
      </c>
      <c r="C15" s="16" t="s">
        <v>48</v>
      </c>
    </row>
    <row r="16" customFormat="false" ht="15.75" hidden="false" customHeight="true" outlineLevel="0" collapsed="false">
      <c r="A16" s="14" t="s">
        <v>49</v>
      </c>
      <c r="B16" s="18" t="n">
        <v>0.2</v>
      </c>
      <c r="C16" s="16" t="s">
        <v>50</v>
      </c>
    </row>
    <row r="17" customFormat="false" ht="15.75" hidden="false" customHeight="true" outlineLevel="0" collapsed="false">
      <c r="A17" s="14" t="s">
        <v>51</v>
      </c>
      <c r="B17" s="18" t="n">
        <v>0.7</v>
      </c>
      <c r="C17" s="16" t="s">
        <v>52</v>
      </c>
    </row>
    <row r="18" customFormat="false" ht="15.75" hidden="false" customHeight="true" outlineLevel="0" collapsed="false">
      <c r="A18" s="14" t="s">
        <v>53</v>
      </c>
      <c r="B18" s="18" t="n">
        <v>0.3</v>
      </c>
      <c r="C18" s="16" t="s">
        <v>54</v>
      </c>
    </row>
    <row r="20" customFormat="false" ht="18" hidden="false" customHeight="true" outlineLevel="0" collapsed="false">
      <c r="A20" s="13" t="s">
        <v>55</v>
      </c>
      <c r="B20" s="13"/>
      <c r="C20" s="13"/>
    </row>
    <row r="21" customFormat="false" ht="15.75" hidden="false" customHeight="true" outlineLevel="0" collapsed="false">
      <c r="A21" s="14" t="s">
        <v>56</v>
      </c>
      <c r="B21" s="15" t="n">
        <v>4</v>
      </c>
      <c r="C21" s="16" t="s">
        <v>57</v>
      </c>
    </row>
    <row r="22" customFormat="false" ht="15.75" hidden="false" customHeight="true" outlineLevel="0" collapsed="false">
      <c r="A22" s="14" t="s">
        <v>58</v>
      </c>
      <c r="B22" s="15" t="n">
        <v>5</v>
      </c>
      <c r="C22" s="16" t="s">
        <v>35</v>
      </c>
    </row>
    <row r="23" customFormat="false" ht="15.75" hidden="false" customHeight="true" outlineLevel="0" collapsed="false">
      <c r="A23" s="14" t="s">
        <v>59</v>
      </c>
      <c r="B23" s="15" t="n">
        <v>5</v>
      </c>
      <c r="C23" s="16" t="s">
        <v>60</v>
      </c>
    </row>
    <row r="24" customFormat="false" ht="15.75" hidden="false" customHeight="true" outlineLevel="0" collapsed="false">
      <c r="A24" s="14" t="s">
        <v>61</v>
      </c>
      <c r="B24" s="15" t="n">
        <v>0</v>
      </c>
      <c r="C24" s="16" t="s">
        <v>62</v>
      </c>
    </row>
    <row r="25" customFormat="false" ht="15.75" hidden="false" customHeight="true" outlineLevel="0" collapsed="false">
      <c r="A25" s="14" t="s">
        <v>63</v>
      </c>
      <c r="B25" s="15" t="n">
        <v>7</v>
      </c>
      <c r="C25" s="16" t="s">
        <v>35</v>
      </c>
    </row>
    <row r="26" customFormat="false" ht="15.75" hidden="false" customHeight="true" outlineLevel="0" collapsed="false">
      <c r="A26" s="14" t="s">
        <v>64</v>
      </c>
      <c r="B26" s="15" t="n">
        <v>5</v>
      </c>
      <c r="C26" s="16" t="s">
        <v>35</v>
      </c>
    </row>
    <row r="27" customFormat="false" ht="15.75" hidden="false" customHeight="true" outlineLevel="0" collapsed="false">
      <c r="A27" s="14" t="s">
        <v>65</v>
      </c>
      <c r="B27" s="15" t="n">
        <v>18</v>
      </c>
      <c r="C27" s="16" t="s">
        <v>35</v>
      </c>
    </row>
    <row r="28" customFormat="false" ht="15.75" hidden="false" customHeight="true" outlineLevel="0" collapsed="false">
      <c r="A28" s="14" t="s">
        <v>66</v>
      </c>
      <c r="B28" s="15" t="n">
        <v>4.17</v>
      </c>
      <c r="C28" s="16" t="s">
        <v>67</v>
      </c>
    </row>
    <row r="29" customFormat="false" ht="15.75" hidden="false" customHeight="true" outlineLevel="0" collapsed="false">
      <c r="A29" s="14" t="s">
        <v>68</v>
      </c>
      <c r="B29" s="15" t="n">
        <v>6.67</v>
      </c>
      <c r="C29" s="16" t="s">
        <v>69</v>
      </c>
    </row>
    <row r="31" customFormat="false" ht="18" hidden="false" customHeight="true" outlineLevel="0" collapsed="false">
      <c r="A31" s="13" t="s">
        <v>70</v>
      </c>
      <c r="B31" s="13"/>
      <c r="C31" s="13"/>
    </row>
    <row r="32" customFormat="false" ht="15.75" hidden="false" customHeight="true" outlineLevel="0" collapsed="false">
      <c r="A32" s="14" t="s">
        <v>71</v>
      </c>
      <c r="B32" s="15" t="n">
        <v>0.62</v>
      </c>
      <c r="C32" s="16" t="s">
        <v>72</v>
      </c>
    </row>
    <row r="33" customFormat="false" ht="15.75" hidden="false" customHeight="true" outlineLevel="0" collapsed="false">
      <c r="A33" s="14" t="s">
        <v>73</v>
      </c>
      <c r="B33" s="15" t="n">
        <v>2.04</v>
      </c>
      <c r="C33" s="16" t="s">
        <v>72</v>
      </c>
    </row>
    <row r="35" customFormat="false" ht="18" hidden="false" customHeight="true" outlineLevel="0" collapsed="false">
      <c r="A35" s="13" t="s">
        <v>74</v>
      </c>
      <c r="B35" s="13"/>
      <c r="C35" s="13"/>
    </row>
    <row r="36" customFormat="false" ht="15.75" hidden="false" customHeight="true" outlineLevel="0" collapsed="false">
      <c r="A36" s="14" t="s">
        <v>75</v>
      </c>
      <c r="B36" s="17" t="n">
        <v>25</v>
      </c>
      <c r="C36" s="16" t="s">
        <v>76</v>
      </c>
    </row>
    <row r="37" customFormat="false" ht="15.75" hidden="false" customHeight="true" outlineLevel="0" collapsed="false">
      <c r="A37" s="14" t="s">
        <v>77</v>
      </c>
      <c r="B37" s="21" t="n">
        <v>5000</v>
      </c>
      <c r="C37" s="16" t="s">
        <v>78</v>
      </c>
    </row>
    <row r="39" customFormat="false" ht="18" hidden="false" customHeight="true" outlineLevel="0" collapsed="false">
      <c r="A39" s="13" t="s">
        <v>79</v>
      </c>
      <c r="B39" s="13"/>
      <c r="C39" s="13"/>
    </row>
    <row r="40" customFormat="false" ht="15.75" hidden="false" customHeight="true" outlineLevel="0" collapsed="false">
      <c r="A40" s="14" t="s">
        <v>80</v>
      </c>
      <c r="B40" s="17" t="n">
        <v>100</v>
      </c>
      <c r="C40" s="16" t="s">
        <v>35</v>
      </c>
    </row>
    <row r="41" customFormat="false" ht="15.75" hidden="false" customHeight="true" outlineLevel="0" collapsed="false">
      <c r="A41" s="14" t="s">
        <v>81</v>
      </c>
      <c r="B41" s="21" t="n">
        <v>4500</v>
      </c>
      <c r="C41" s="16" t="s">
        <v>82</v>
      </c>
    </row>
    <row r="43" customFormat="false" ht="18" hidden="false" customHeight="true" outlineLevel="0" collapsed="false">
      <c r="A43" s="13" t="s">
        <v>83</v>
      </c>
      <c r="B43" s="13"/>
      <c r="C43" s="13"/>
    </row>
    <row r="44" customFormat="false" ht="15.75" hidden="false" customHeight="true" outlineLevel="0" collapsed="false">
      <c r="A44" s="14" t="s">
        <v>84</v>
      </c>
      <c r="B44" s="21" t="n">
        <v>2100000</v>
      </c>
      <c r="C44" s="16" t="s">
        <v>35</v>
      </c>
    </row>
    <row r="45" customFormat="false" ht="15.75" hidden="false" customHeight="true" outlineLevel="0" collapsed="false">
      <c r="A45" s="14" t="s">
        <v>85</v>
      </c>
      <c r="B45" s="17" t="n">
        <v>8750</v>
      </c>
      <c r="C45" s="16" t="s">
        <v>86</v>
      </c>
    </row>
  </sheetData>
  <mergeCells count="12">
    <mergeCell ref="A1:C1"/>
    <mergeCell ref="A2:C2"/>
    <mergeCell ref="A3:C3"/>
    <mergeCell ref="A7:C7"/>
    <mergeCell ref="A8:C8"/>
    <mergeCell ref="A12:C12"/>
    <mergeCell ref="A14:C14"/>
    <mergeCell ref="A20:C20"/>
    <mergeCell ref="A31:C31"/>
    <mergeCell ref="A35:C35"/>
    <mergeCell ref="A39:C39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7" min="2" style="1" width="9"/>
  </cols>
  <sheetData>
    <row r="1" customFormat="false" ht="25.5" hidden="false" customHeight="true" outlineLevel="0" collapsed="false">
      <c r="A1" s="12" t="s">
        <v>87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customFormat="false" ht="18" hidden="false" customHeight="true" outlineLevel="0" collapsed="false">
      <c r="A2" s="22"/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  <c r="I2" s="23" t="s">
        <v>95</v>
      </c>
      <c r="J2" s="23" t="s">
        <v>96</v>
      </c>
      <c r="K2" s="23" t="s">
        <v>97</v>
      </c>
      <c r="L2" s="23" t="s">
        <v>98</v>
      </c>
      <c r="M2" s="23" t="s">
        <v>99</v>
      </c>
      <c r="N2" s="23" t="s">
        <v>100</v>
      </c>
      <c r="O2" s="23" t="s">
        <v>101</v>
      </c>
      <c r="P2" s="23" t="s">
        <v>102</v>
      </c>
      <c r="Q2" s="23" t="s">
        <v>103</v>
      </c>
      <c r="R2" s="23" t="s">
        <v>104</v>
      </c>
      <c r="S2" s="23" t="s">
        <v>105</v>
      </c>
      <c r="T2" s="23" t="s">
        <v>106</v>
      </c>
      <c r="U2" s="23" t="s">
        <v>107</v>
      </c>
      <c r="V2" s="23" t="s">
        <v>108</v>
      </c>
      <c r="W2" s="23" t="s">
        <v>109</v>
      </c>
      <c r="X2" s="23" t="s">
        <v>110</v>
      </c>
      <c r="Y2" s="23" t="s">
        <v>111</v>
      </c>
      <c r="Z2" s="23" t="s">
        <v>112</v>
      </c>
      <c r="AA2" s="23" t="s">
        <v>113</v>
      </c>
      <c r="AB2" s="23" t="s">
        <v>114</v>
      </c>
      <c r="AC2" s="23" t="s">
        <v>115</v>
      </c>
      <c r="AD2" s="23" t="s">
        <v>116</v>
      </c>
      <c r="AE2" s="23" t="s">
        <v>117</v>
      </c>
      <c r="AF2" s="23" t="s">
        <v>118</v>
      </c>
      <c r="AG2" s="23" t="s">
        <v>119</v>
      </c>
      <c r="AH2" s="23" t="s">
        <v>120</v>
      </c>
      <c r="AI2" s="23" t="s">
        <v>121</v>
      </c>
      <c r="AJ2" s="23" t="s">
        <v>122</v>
      </c>
      <c r="AK2" s="23" t="s">
        <v>123</v>
      </c>
    </row>
    <row r="3" customFormat="false" ht="12.75" hidden="false" customHeight="true" outlineLevel="0" collapsed="false">
      <c r="A3" s="24" t="s">
        <v>124</v>
      </c>
      <c r="B3" s="25" t="n">
        <v>1</v>
      </c>
      <c r="C3" s="25" t="n">
        <v>2</v>
      </c>
      <c r="D3" s="25" t="n">
        <v>3</v>
      </c>
      <c r="E3" s="25" t="n">
        <v>4</v>
      </c>
      <c r="F3" s="25" t="n">
        <v>5</v>
      </c>
      <c r="G3" s="25" t="n">
        <v>6</v>
      </c>
      <c r="H3" s="25" t="n">
        <v>7</v>
      </c>
      <c r="I3" s="25" t="n">
        <v>8</v>
      </c>
      <c r="J3" s="25" t="n">
        <v>9</v>
      </c>
      <c r="K3" s="25" t="n">
        <v>10</v>
      </c>
      <c r="L3" s="25" t="n">
        <v>11</v>
      </c>
      <c r="M3" s="25" t="n">
        <v>12</v>
      </c>
      <c r="N3" s="25" t="n">
        <v>13</v>
      </c>
      <c r="O3" s="25" t="n">
        <v>14</v>
      </c>
      <c r="P3" s="25" t="n">
        <v>15</v>
      </c>
      <c r="Q3" s="25" t="n">
        <v>16</v>
      </c>
      <c r="R3" s="25" t="n">
        <v>17</v>
      </c>
      <c r="S3" s="25" t="n">
        <v>18</v>
      </c>
      <c r="T3" s="25" t="n">
        <v>19</v>
      </c>
      <c r="U3" s="25" t="n">
        <v>20</v>
      </c>
      <c r="V3" s="25" t="n">
        <v>21</v>
      </c>
      <c r="W3" s="25" t="n">
        <v>22</v>
      </c>
      <c r="X3" s="25" t="n">
        <v>23</v>
      </c>
      <c r="Y3" s="25" t="n">
        <v>24</v>
      </c>
      <c r="Z3" s="25" t="n">
        <v>25</v>
      </c>
      <c r="AA3" s="25" t="n">
        <v>26</v>
      </c>
      <c r="AB3" s="25" t="n">
        <v>27</v>
      </c>
      <c r="AC3" s="25" t="n">
        <v>28</v>
      </c>
      <c r="AD3" s="25" t="n">
        <v>29</v>
      </c>
      <c r="AE3" s="25" t="n">
        <v>30</v>
      </c>
      <c r="AF3" s="25" t="n">
        <v>31</v>
      </c>
      <c r="AG3" s="25" t="n">
        <v>32</v>
      </c>
      <c r="AH3" s="25" t="n">
        <v>33</v>
      </c>
      <c r="AI3" s="25" t="n">
        <v>34</v>
      </c>
      <c r="AJ3" s="25" t="n">
        <v>35</v>
      </c>
      <c r="AK3" s="25" t="n">
        <v>36</v>
      </c>
    </row>
    <row r="4" customFormat="false" ht="16.5" hidden="false" customHeight="true" outlineLevel="0" collapsed="false">
      <c r="A4" s="13" t="s">
        <v>125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 customFormat="false" ht="15.75" hidden="false" customHeight="true" outlineLevel="0" collapsed="false">
      <c r="A5" s="26" t="s">
        <v>126</v>
      </c>
      <c r="B5" s="27" t="n">
        <f aca="false">Assumptions!B9</f>
        <v>5</v>
      </c>
      <c r="C5" s="27" t="n">
        <f aca="false">ROUND(B5*(1+Assumptions!B10),0)</f>
        <v>6</v>
      </c>
      <c r="D5" s="27" t="n">
        <f aca="false">ROUND(C5*(1+Assumptions!B10),0)</f>
        <v>7</v>
      </c>
      <c r="E5" s="27" t="n">
        <f aca="false">ROUND(D5*(1+Assumptions!B10),0)</f>
        <v>8</v>
      </c>
      <c r="F5" s="27" t="n">
        <f aca="false">ROUND(E5*(1+Assumptions!B10),0)</f>
        <v>9</v>
      </c>
      <c r="G5" s="27" t="n">
        <f aca="false">ROUND(F5*(1+Assumptions!B10),0)</f>
        <v>11</v>
      </c>
      <c r="H5" s="27" t="n">
        <f aca="false">ROUND(G5*(1+Assumptions!B10),0)</f>
        <v>13</v>
      </c>
      <c r="I5" s="27" t="n">
        <f aca="false">ROUND(H5*(1+Assumptions!B10),0)</f>
        <v>15</v>
      </c>
      <c r="J5" s="27" t="n">
        <f aca="false">ROUND(I5*(1+Assumptions!B10),0)</f>
        <v>18</v>
      </c>
      <c r="K5" s="27" t="n">
        <f aca="false">ROUND(J5*(1+Assumptions!B10),0)</f>
        <v>21</v>
      </c>
      <c r="L5" s="27" t="n">
        <f aca="false">ROUND(K5*(1+Assumptions!B10),0)</f>
        <v>25</v>
      </c>
      <c r="M5" s="27" t="n">
        <f aca="false">ROUND(L5*(1+Assumptions!B10),0)</f>
        <v>30</v>
      </c>
      <c r="N5" s="27" t="n">
        <f aca="false">ROUND(M5*(1+Assumptions!B10),0)</f>
        <v>35</v>
      </c>
      <c r="O5" s="27" t="n">
        <f aca="false">ROUND(N5*(1+Assumptions!B10),0)</f>
        <v>41</v>
      </c>
      <c r="P5" s="27" t="n">
        <f aca="false">ROUND(O5*(1+Assumptions!B10),0)</f>
        <v>48</v>
      </c>
      <c r="Q5" s="27" t="n">
        <f aca="false">ROUND(P5*(1+Assumptions!B10),0)</f>
        <v>57</v>
      </c>
      <c r="R5" s="27" t="n">
        <f aca="false">ROUND(Q5*(1+Assumptions!B10),0)</f>
        <v>67</v>
      </c>
      <c r="S5" s="27" t="n">
        <f aca="false">ROUND(R5*(1+Assumptions!B10),0)</f>
        <v>79</v>
      </c>
      <c r="T5" s="27" t="n">
        <f aca="false">ROUND(S5*(1+Assumptions!B10),0)</f>
        <v>93</v>
      </c>
      <c r="U5" s="27" t="n">
        <f aca="false">ROUND(T5*(1+Assumptions!B10),0)</f>
        <v>110</v>
      </c>
      <c r="V5" s="27" t="n">
        <f aca="false">ROUND(U5*(1+Assumptions!B10),0)</f>
        <v>130</v>
      </c>
      <c r="W5" s="27" t="n">
        <f aca="false">ROUND(V5*(1+Assumptions!B10),0)</f>
        <v>153</v>
      </c>
      <c r="X5" s="27" t="n">
        <f aca="false">ROUND(W5*(1+Assumptions!B10),0)</f>
        <v>181</v>
      </c>
      <c r="Y5" s="27" t="n">
        <f aca="false">ROUND(X5*(1+Assumptions!B10),0)</f>
        <v>214</v>
      </c>
      <c r="Z5" s="27" t="n">
        <f aca="false">ROUND(Y5*(1+Assumptions!B10),0)</f>
        <v>253</v>
      </c>
      <c r="AA5" s="27" t="n">
        <f aca="false">ROUND(Z5*(1+Assumptions!B10),0)</f>
        <v>299</v>
      </c>
      <c r="AB5" s="27" t="n">
        <f aca="false">ROUND(AA5*(1+Assumptions!B10),0)</f>
        <v>353</v>
      </c>
      <c r="AC5" s="27" t="n">
        <f aca="false">ROUND(AB5*(1+Assumptions!B10),0)</f>
        <v>417</v>
      </c>
      <c r="AD5" s="27" t="n">
        <f aca="false">ROUND(AC5*(1+Assumptions!B10),0)</f>
        <v>492</v>
      </c>
      <c r="AE5" s="27" t="n">
        <f aca="false">ROUND(AD5*(1+Assumptions!B10),0)</f>
        <v>581</v>
      </c>
      <c r="AF5" s="27" t="n">
        <f aca="false">ROUND(AE5*(1+Assumptions!B10),0)</f>
        <v>686</v>
      </c>
      <c r="AG5" s="27" t="n">
        <f aca="false">ROUND(AF5*(1+Assumptions!B10),0)</f>
        <v>809</v>
      </c>
      <c r="AH5" s="27" t="n">
        <f aca="false">ROUND(AG5*(1+Assumptions!B10),0)</f>
        <v>955</v>
      </c>
      <c r="AI5" s="27" t="n">
        <f aca="false">ROUND(AH5*(1+Assumptions!B10),0)</f>
        <v>1127</v>
      </c>
      <c r="AJ5" s="27" t="n">
        <f aca="false">ROUND(AI5*(1+Assumptions!B10),0)</f>
        <v>1330</v>
      </c>
      <c r="AK5" s="27" t="n">
        <f aca="false">ROUND(AJ5*(1+Assumptions!B10),0)</f>
        <v>1569</v>
      </c>
    </row>
    <row r="6" customFormat="false" ht="15.75" hidden="false" customHeight="true" outlineLevel="0" collapsed="false">
      <c r="A6" s="26" t="s">
        <v>127</v>
      </c>
      <c r="B6" s="27" t="n">
        <f aca="false">0</f>
        <v>0</v>
      </c>
      <c r="C6" s="27" t="n">
        <f aca="false">ROUND(B7*Assumptions!B11,0)</f>
        <v>0</v>
      </c>
      <c r="D6" s="27" t="n">
        <f aca="false">ROUND(C7*Assumptions!B11,0)</f>
        <v>0</v>
      </c>
      <c r="E6" s="27" t="n">
        <f aca="false">ROUND(D7*Assumptions!B11,0)</f>
        <v>1</v>
      </c>
      <c r="F6" s="27" t="n">
        <f aca="false">ROUND(E7*Assumptions!B11,0)</f>
        <v>1</v>
      </c>
      <c r="G6" s="27" t="n">
        <f aca="false">ROUND(F7*Assumptions!B11,0)</f>
        <v>1</v>
      </c>
      <c r="H6" s="27" t="n">
        <f aca="false">ROUND(G7*Assumptions!B11,0)</f>
        <v>1</v>
      </c>
      <c r="I6" s="27" t="n">
        <f aca="false">ROUND(H7*Assumptions!B11,0)</f>
        <v>2</v>
      </c>
      <c r="J6" s="27" t="n">
        <f aca="false">ROUND(I7*Assumptions!B11,0)</f>
        <v>2</v>
      </c>
      <c r="K6" s="27" t="n">
        <f aca="false">ROUND(J7*Assumptions!B11,0)</f>
        <v>3</v>
      </c>
      <c r="L6" s="27" t="n">
        <f aca="false">ROUND(K7*Assumptions!B11,0)</f>
        <v>3</v>
      </c>
      <c r="M6" s="27" t="n">
        <f aca="false">ROUND(L7*Assumptions!B11,0)</f>
        <v>4</v>
      </c>
      <c r="N6" s="27" t="n">
        <f aca="false">ROUND(M7*Assumptions!B11,0)</f>
        <v>5</v>
      </c>
      <c r="O6" s="27" t="n">
        <f aca="false">ROUND(N7*Assumptions!B11,0)</f>
        <v>5</v>
      </c>
      <c r="P6" s="27" t="n">
        <f aca="false">ROUND(O7*Assumptions!B11,0)</f>
        <v>6</v>
      </c>
      <c r="Q6" s="27" t="n">
        <f aca="false">ROUND(P7*Assumptions!B11,0)</f>
        <v>8</v>
      </c>
      <c r="R6" s="27" t="n">
        <f aca="false">ROUND(Q7*Assumptions!B11,0)</f>
        <v>9</v>
      </c>
      <c r="S6" s="27" t="n">
        <f aca="false">ROUND(R7*Assumptions!B11,0)</f>
        <v>11</v>
      </c>
      <c r="T6" s="27" t="n">
        <f aca="false">ROUND(S7*Assumptions!B11,0)</f>
        <v>13</v>
      </c>
      <c r="U6" s="27" t="n">
        <f aca="false">ROUND(T7*Assumptions!B11,0)</f>
        <v>15</v>
      </c>
      <c r="V6" s="27" t="n">
        <f aca="false">ROUND(U7*Assumptions!B11,0)</f>
        <v>18</v>
      </c>
      <c r="W6" s="27" t="n">
        <f aca="false">ROUND(V7*Assumptions!B11,0)</f>
        <v>22</v>
      </c>
      <c r="X6" s="27" t="n">
        <f aca="false">ROUND(W7*Assumptions!B11,0)</f>
        <v>26</v>
      </c>
      <c r="Y6" s="27" t="n">
        <f aca="false">ROUND(X7*Assumptions!B11,0)</f>
        <v>30</v>
      </c>
      <c r="Z6" s="27" t="n">
        <f aca="false">ROUND(Y7*Assumptions!B11,0)</f>
        <v>36</v>
      </c>
      <c r="AA6" s="27" t="n">
        <f aca="false">ROUND(Z7*Assumptions!B11,0)</f>
        <v>42</v>
      </c>
      <c r="AB6" s="27" t="n">
        <f aca="false">ROUND(AA7*Assumptions!B11,0)</f>
        <v>50</v>
      </c>
      <c r="AC6" s="27" t="n">
        <f aca="false">ROUND(AB7*Assumptions!B11,0)</f>
        <v>59</v>
      </c>
      <c r="AD6" s="27" t="n">
        <f aca="false">ROUND(AC7*Assumptions!B11,0)</f>
        <v>70</v>
      </c>
      <c r="AE6" s="27" t="n">
        <f aca="false">ROUND(AD7*Assumptions!B11,0)</f>
        <v>82</v>
      </c>
      <c r="AF6" s="27" t="n">
        <f aca="false">ROUND(AE7*Assumptions!B11,0)</f>
        <v>97</v>
      </c>
      <c r="AG6" s="27" t="n">
        <f aca="false">ROUND(AF7*Assumptions!B11,0)</f>
        <v>115</v>
      </c>
      <c r="AH6" s="27" t="n">
        <f aca="false">ROUND(AG7*Assumptions!B11,0)</f>
        <v>136</v>
      </c>
      <c r="AI6" s="27" t="n">
        <f aca="false">ROUND(AH7*Assumptions!B11,0)</f>
        <v>160</v>
      </c>
      <c r="AJ6" s="27" t="n">
        <f aca="false">ROUND(AI7*Assumptions!B11,0)</f>
        <v>189</v>
      </c>
      <c r="AK6" s="27" t="n">
        <f aca="false">ROUND(AJ7*Assumptions!B11,0)</f>
        <v>224</v>
      </c>
    </row>
    <row r="7" customFormat="false" ht="15.75" hidden="false" customHeight="true" outlineLevel="0" collapsed="false">
      <c r="A7" s="28" t="s">
        <v>128</v>
      </c>
      <c r="B7" s="29" t="n">
        <f aca="false">MAX(0,B5)</f>
        <v>5</v>
      </c>
      <c r="C7" s="29" t="n">
        <f aca="false">MAX(0,B7+C5-C6)</f>
        <v>11</v>
      </c>
      <c r="D7" s="29" t="n">
        <f aca="false">MAX(0,C7+D5-D6)</f>
        <v>18</v>
      </c>
      <c r="E7" s="29" t="n">
        <f aca="false">MAX(0,D7+E5-E6)</f>
        <v>25</v>
      </c>
      <c r="F7" s="29" t="n">
        <f aca="false">MAX(0,E7+F5-F6)</f>
        <v>33</v>
      </c>
      <c r="G7" s="29" t="n">
        <f aca="false">MAX(0,F7+G5-G6)</f>
        <v>43</v>
      </c>
      <c r="H7" s="29" t="n">
        <f aca="false">MAX(0,G7+H5-H6)</f>
        <v>55</v>
      </c>
      <c r="I7" s="29" t="n">
        <f aca="false">MAX(0,H7+I5-I6)</f>
        <v>68</v>
      </c>
      <c r="J7" s="29" t="n">
        <f aca="false">MAX(0,I7+J5-J6)</f>
        <v>84</v>
      </c>
      <c r="K7" s="29" t="n">
        <f aca="false">MAX(0,J7+K5-K6)</f>
        <v>102</v>
      </c>
      <c r="L7" s="29" t="n">
        <f aca="false">MAX(0,K7+L5-L6)</f>
        <v>124</v>
      </c>
      <c r="M7" s="29" t="n">
        <f aca="false">MAX(0,L7+M5-M6)</f>
        <v>150</v>
      </c>
      <c r="N7" s="29" t="n">
        <f aca="false">MAX(0,M7+N5-N6)</f>
        <v>180</v>
      </c>
      <c r="O7" s="29" t="n">
        <f aca="false">MAX(0,N7+O5-O6)</f>
        <v>216</v>
      </c>
      <c r="P7" s="29" t="n">
        <f aca="false">MAX(0,O7+P5-P6)</f>
        <v>258</v>
      </c>
      <c r="Q7" s="29" t="n">
        <f aca="false">MAX(0,P7+Q5-Q6)</f>
        <v>307</v>
      </c>
      <c r="R7" s="29" t="n">
        <f aca="false">MAX(0,Q7+R5-R6)</f>
        <v>365</v>
      </c>
      <c r="S7" s="29" t="n">
        <f aca="false">MAX(0,R7+S5-S6)</f>
        <v>433</v>
      </c>
      <c r="T7" s="29" t="n">
        <f aca="false">MAX(0,S7+T5-T6)</f>
        <v>513</v>
      </c>
      <c r="U7" s="29" t="n">
        <f aca="false">MAX(0,T7+U5-U6)</f>
        <v>608</v>
      </c>
      <c r="V7" s="29" t="n">
        <f aca="false">MAX(0,U7+V5-V6)</f>
        <v>720</v>
      </c>
      <c r="W7" s="29" t="n">
        <f aca="false">MAX(0,V7+W5-W6)</f>
        <v>851</v>
      </c>
      <c r="X7" s="29" t="n">
        <f aca="false">MAX(0,W7+X5-X6)</f>
        <v>1006</v>
      </c>
      <c r="Y7" s="29" t="n">
        <f aca="false">MAX(0,X7+Y5-Y6)</f>
        <v>1190</v>
      </c>
      <c r="Z7" s="29" t="n">
        <f aca="false">MAX(0,Y7+Z5-Z6)</f>
        <v>1407</v>
      </c>
      <c r="AA7" s="29" t="n">
        <f aca="false">MAX(0,Z7+AA5-AA6)</f>
        <v>1664</v>
      </c>
      <c r="AB7" s="29" t="n">
        <f aca="false">MAX(0,AA7+AB5-AB6)</f>
        <v>1967</v>
      </c>
      <c r="AC7" s="29" t="n">
        <f aca="false">MAX(0,AB7+AC5-AC6)</f>
        <v>2325</v>
      </c>
      <c r="AD7" s="29" t="n">
        <f aca="false">MAX(0,AC7+AD5-AD6)</f>
        <v>2747</v>
      </c>
      <c r="AE7" s="29" t="n">
        <f aca="false">MAX(0,AD7+AE5-AE6)</f>
        <v>3246</v>
      </c>
      <c r="AF7" s="29" t="n">
        <f aca="false">MAX(0,AE7+AF5-AF6)</f>
        <v>3835</v>
      </c>
      <c r="AG7" s="29" t="n">
        <f aca="false">MAX(0,AF7+AG5-AG6)</f>
        <v>4529</v>
      </c>
      <c r="AH7" s="29" t="n">
        <f aca="false">MAX(0,AG7+AH5-AH6)</f>
        <v>5348</v>
      </c>
      <c r="AI7" s="29" t="n">
        <f aca="false">MAX(0,AH7+AI5-AI6)</f>
        <v>6315</v>
      </c>
      <c r="AJ7" s="29" t="n">
        <f aca="false">MAX(0,AI7+AJ5-AJ6)</f>
        <v>7456</v>
      </c>
      <c r="AK7" s="29" t="n">
        <f aca="false">MAX(0,AJ7+AK5-AK6)</f>
        <v>8801</v>
      </c>
    </row>
    <row r="8" customFormat="false" ht="15.75" hidden="false" customHeight="true" outlineLevel="0" collapsed="false">
      <c r="A8" s="26" t="s">
        <v>129</v>
      </c>
      <c r="B8" s="27" t="n">
        <f aca="false">ROUND(B7*Assumptions!B15,0)</f>
        <v>4</v>
      </c>
      <c r="C8" s="27" t="n">
        <f aca="false">ROUND(C7*Assumptions!B15,0)</f>
        <v>9</v>
      </c>
      <c r="D8" s="27" t="n">
        <f aca="false">ROUND(D7*Assumptions!B15,0)</f>
        <v>14</v>
      </c>
      <c r="E8" s="27" t="n">
        <f aca="false">ROUND(E7*Assumptions!B15,0)</f>
        <v>20</v>
      </c>
      <c r="F8" s="27" t="n">
        <f aca="false">ROUND(F7*Assumptions!B15,0)</f>
        <v>26</v>
      </c>
      <c r="G8" s="27" t="n">
        <f aca="false">ROUND(G7*Assumptions!B15,0)</f>
        <v>34</v>
      </c>
      <c r="H8" s="27" t="n">
        <f aca="false">ROUND(H7*Assumptions!B15,0)</f>
        <v>44</v>
      </c>
      <c r="I8" s="27" t="n">
        <f aca="false">ROUND(I7*Assumptions!B15,0)</f>
        <v>54</v>
      </c>
      <c r="J8" s="27" t="n">
        <f aca="false">ROUND(J7*Assumptions!B15,0)</f>
        <v>67</v>
      </c>
      <c r="K8" s="27" t="n">
        <f aca="false">ROUND(K7*Assumptions!B15,0)</f>
        <v>82</v>
      </c>
      <c r="L8" s="27" t="n">
        <f aca="false">ROUND(L7*Assumptions!B15,0)</f>
        <v>99</v>
      </c>
      <c r="M8" s="27" t="n">
        <f aca="false">ROUND(M7*Assumptions!B15,0)</f>
        <v>120</v>
      </c>
      <c r="N8" s="27" t="n">
        <f aca="false">ROUND(N7*Assumptions!B15,0)</f>
        <v>144</v>
      </c>
      <c r="O8" s="27" t="n">
        <f aca="false">ROUND(O7*Assumptions!B15,0)</f>
        <v>173</v>
      </c>
      <c r="P8" s="27" t="n">
        <f aca="false">ROUND(P7*Assumptions!B15,0)</f>
        <v>206</v>
      </c>
      <c r="Q8" s="27" t="n">
        <f aca="false">ROUND(Q7*Assumptions!B15,0)</f>
        <v>246</v>
      </c>
      <c r="R8" s="27" t="n">
        <f aca="false">ROUND(R7*Assumptions!B15,0)</f>
        <v>292</v>
      </c>
      <c r="S8" s="27" t="n">
        <f aca="false">ROUND(S7*Assumptions!B15,0)</f>
        <v>346</v>
      </c>
      <c r="T8" s="27" t="n">
        <f aca="false">ROUND(T7*Assumptions!B15,0)</f>
        <v>410</v>
      </c>
      <c r="U8" s="27" t="n">
        <f aca="false">ROUND(U7*Assumptions!B15,0)</f>
        <v>486</v>
      </c>
      <c r="V8" s="27" t="n">
        <f aca="false">ROUND(V7*Assumptions!B15,0)</f>
        <v>576</v>
      </c>
      <c r="W8" s="27" t="n">
        <f aca="false">ROUND(W7*Assumptions!B15,0)</f>
        <v>681</v>
      </c>
      <c r="X8" s="27" t="n">
        <f aca="false">ROUND(X7*Assumptions!B15,0)</f>
        <v>805</v>
      </c>
      <c r="Y8" s="27" t="n">
        <f aca="false">ROUND(Y7*Assumptions!B15,0)</f>
        <v>952</v>
      </c>
      <c r="Z8" s="27" t="n">
        <f aca="false">ROUND(Z7*Assumptions!B15,0)</f>
        <v>1126</v>
      </c>
      <c r="AA8" s="27" t="n">
        <f aca="false">ROUND(AA7*Assumptions!B15,0)</f>
        <v>1331</v>
      </c>
      <c r="AB8" s="27" t="n">
        <f aca="false">ROUND(AB7*Assumptions!B15,0)</f>
        <v>1574</v>
      </c>
      <c r="AC8" s="27" t="n">
        <f aca="false">ROUND(AC7*Assumptions!B15,0)</f>
        <v>1860</v>
      </c>
      <c r="AD8" s="27" t="n">
        <f aca="false">ROUND(AD7*Assumptions!B15,0)</f>
        <v>2198</v>
      </c>
      <c r="AE8" s="27" t="n">
        <f aca="false">ROUND(AE7*Assumptions!B15,0)</f>
        <v>2597</v>
      </c>
      <c r="AF8" s="27" t="n">
        <f aca="false">ROUND(AF7*Assumptions!B15,0)</f>
        <v>3068</v>
      </c>
      <c r="AG8" s="27" t="n">
        <f aca="false">ROUND(AG7*Assumptions!B15,0)</f>
        <v>3623</v>
      </c>
      <c r="AH8" s="27" t="n">
        <f aca="false">ROUND(AH7*Assumptions!B15,0)</f>
        <v>4278</v>
      </c>
      <c r="AI8" s="27" t="n">
        <f aca="false">ROUND(AI7*Assumptions!B15,0)</f>
        <v>5052</v>
      </c>
      <c r="AJ8" s="27" t="n">
        <f aca="false">ROUND(AJ7*Assumptions!B15,0)</f>
        <v>5965</v>
      </c>
      <c r="AK8" s="27" t="n">
        <f aca="false">ROUND(AK7*Assumptions!B15,0)</f>
        <v>7041</v>
      </c>
    </row>
    <row r="9" customFormat="false" ht="15.75" hidden="false" customHeight="true" outlineLevel="0" collapsed="false">
      <c r="A9" s="26" t="s">
        <v>130</v>
      </c>
      <c r="B9" s="27" t="n">
        <f aca="false">MAX(0,B7-B8)</f>
        <v>1</v>
      </c>
      <c r="C9" s="27" t="n">
        <f aca="false">MAX(0,C7-C8)</f>
        <v>2</v>
      </c>
      <c r="D9" s="27" t="n">
        <f aca="false">MAX(0,D7-D8)</f>
        <v>4</v>
      </c>
      <c r="E9" s="27" t="n">
        <f aca="false">MAX(0,E7-E8)</f>
        <v>5</v>
      </c>
      <c r="F9" s="27" t="n">
        <f aca="false">MAX(0,F7-F8)</f>
        <v>7</v>
      </c>
      <c r="G9" s="27" t="n">
        <f aca="false">MAX(0,G7-G8)</f>
        <v>9</v>
      </c>
      <c r="H9" s="27" t="n">
        <f aca="false">MAX(0,H7-H8)</f>
        <v>11</v>
      </c>
      <c r="I9" s="27" t="n">
        <f aca="false">MAX(0,I7-I8)</f>
        <v>14</v>
      </c>
      <c r="J9" s="27" t="n">
        <f aca="false">MAX(0,J7-J8)</f>
        <v>17</v>
      </c>
      <c r="K9" s="27" t="n">
        <f aca="false">MAX(0,K7-K8)</f>
        <v>20</v>
      </c>
      <c r="L9" s="27" t="n">
        <f aca="false">MAX(0,L7-L8)</f>
        <v>25</v>
      </c>
      <c r="M9" s="27" t="n">
        <f aca="false">MAX(0,M7-M8)</f>
        <v>30</v>
      </c>
      <c r="N9" s="27" t="n">
        <f aca="false">MAX(0,N7-N8)</f>
        <v>36</v>
      </c>
      <c r="O9" s="27" t="n">
        <f aca="false">MAX(0,O7-O8)</f>
        <v>43</v>
      </c>
      <c r="P9" s="27" t="n">
        <f aca="false">MAX(0,P7-P8)</f>
        <v>52</v>
      </c>
      <c r="Q9" s="27" t="n">
        <f aca="false">MAX(0,Q7-Q8)</f>
        <v>61</v>
      </c>
      <c r="R9" s="27" t="n">
        <f aca="false">MAX(0,R7-R8)</f>
        <v>73</v>
      </c>
      <c r="S9" s="27" t="n">
        <f aca="false">MAX(0,S7-S8)</f>
        <v>87</v>
      </c>
      <c r="T9" s="27" t="n">
        <f aca="false">MAX(0,T7-T8)</f>
        <v>103</v>
      </c>
      <c r="U9" s="27" t="n">
        <f aca="false">MAX(0,U7-U8)</f>
        <v>122</v>
      </c>
      <c r="V9" s="27" t="n">
        <f aca="false">MAX(0,V7-V8)</f>
        <v>144</v>
      </c>
      <c r="W9" s="27" t="n">
        <f aca="false">MAX(0,W7-W8)</f>
        <v>170</v>
      </c>
      <c r="X9" s="27" t="n">
        <f aca="false">MAX(0,X7-X8)</f>
        <v>201</v>
      </c>
      <c r="Y9" s="27" t="n">
        <f aca="false">MAX(0,Y7-Y8)</f>
        <v>238</v>
      </c>
      <c r="Z9" s="27" t="n">
        <f aca="false">MAX(0,Z7-Z8)</f>
        <v>281</v>
      </c>
      <c r="AA9" s="27" t="n">
        <f aca="false">MAX(0,AA7-AA8)</f>
        <v>333</v>
      </c>
      <c r="AB9" s="27" t="n">
        <f aca="false">MAX(0,AB7-AB8)</f>
        <v>393</v>
      </c>
      <c r="AC9" s="27" t="n">
        <f aca="false">MAX(0,AC7-AC8)</f>
        <v>465</v>
      </c>
      <c r="AD9" s="27" t="n">
        <f aca="false">MAX(0,AD7-AD8)</f>
        <v>549</v>
      </c>
      <c r="AE9" s="27" t="n">
        <f aca="false">MAX(0,AE7-AE8)</f>
        <v>649</v>
      </c>
      <c r="AF9" s="27" t="n">
        <f aca="false">MAX(0,AF7-AF8)</f>
        <v>767</v>
      </c>
      <c r="AG9" s="27" t="n">
        <f aca="false">MAX(0,AG7-AG8)</f>
        <v>906</v>
      </c>
      <c r="AH9" s="27" t="n">
        <f aca="false">MAX(0,AH7-AH8)</f>
        <v>1070</v>
      </c>
      <c r="AI9" s="27" t="n">
        <f aca="false">MAX(0,AI7-AI8)</f>
        <v>1263</v>
      </c>
      <c r="AJ9" s="27" t="n">
        <f aca="false">MAX(0,AJ7-AJ8)</f>
        <v>1491</v>
      </c>
      <c r="AK9" s="27" t="n">
        <f aca="false">MAX(0,AK7-AK8)</f>
        <v>1760</v>
      </c>
    </row>
    <row r="10" customFormat="false" ht="16.5" hidden="false" customHeight="true" outlineLevel="0" collapsed="false">
      <c r="A10" s="13" t="s">
        <v>131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customFormat="false" ht="15.75" hidden="false" customHeight="true" outlineLevel="0" collapsed="false">
      <c r="A11" s="26" t="s">
        <v>132</v>
      </c>
      <c r="B11" s="30" t="n">
        <f aca="false">B8*Assumptions!B5</f>
        <v>96</v>
      </c>
      <c r="C11" s="30" t="n">
        <f aca="false">C8*Assumptions!B5</f>
        <v>216</v>
      </c>
      <c r="D11" s="30" t="n">
        <f aca="false">D8*Assumptions!B5</f>
        <v>336</v>
      </c>
      <c r="E11" s="30" t="n">
        <f aca="false">E8*Assumptions!B5</f>
        <v>480</v>
      </c>
      <c r="F11" s="30" t="n">
        <f aca="false">F8*Assumptions!B5</f>
        <v>624</v>
      </c>
      <c r="G11" s="30" t="n">
        <f aca="false">G8*Assumptions!B5</f>
        <v>816</v>
      </c>
      <c r="H11" s="30" t="n">
        <f aca="false">H8*Assumptions!B5</f>
        <v>1056</v>
      </c>
      <c r="I11" s="30" t="n">
        <f aca="false">I8*Assumptions!B5</f>
        <v>1296</v>
      </c>
      <c r="J11" s="30" t="n">
        <f aca="false">J8*Assumptions!B5</f>
        <v>1608</v>
      </c>
      <c r="K11" s="30" t="n">
        <f aca="false">K8*Assumptions!B5</f>
        <v>1968</v>
      </c>
      <c r="L11" s="30" t="n">
        <f aca="false">L8*Assumptions!B5</f>
        <v>2376</v>
      </c>
      <c r="M11" s="30" t="n">
        <f aca="false">M8*Assumptions!B5</f>
        <v>2880</v>
      </c>
      <c r="N11" s="30" t="n">
        <f aca="false">N8*Assumptions!B5</f>
        <v>3456</v>
      </c>
      <c r="O11" s="30" t="n">
        <f aca="false">O8*Assumptions!B5</f>
        <v>4152</v>
      </c>
      <c r="P11" s="30" t="n">
        <f aca="false">P8*Assumptions!B5</f>
        <v>4944</v>
      </c>
      <c r="Q11" s="30" t="n">
        <f aca="false">Q8*Assumptions!B5</f>
        <v>5904</v>
      </c>
      <c r="R11" s="30" t="n">
        <f aca="false">R8*Assumptions!B5</f>
        <v>7008</v>
      </c>
      <c r="S11" s="30" t="n">
        <f aca="false">S8*Assumptions!B5</f>
        <v>8304</v>
      </c>
      <c r="T11" s="30" t="n">
        <f aca="false">T8*Assumptions!B5</f>
        <v>9840</v>
      </c>
      <c r="U11" s="30" t="n">
        <f aca="false">U8*Assumptions!B5</f>
        <v>11664</v>
      </c>
      <c r="V11" s="30" t="n">
        <f aca="false">V8*Assumptions!B5</f>
        <v>13824</v>
      </c>
      <c r="W11" s="30" t="n">
        <f aca="false">W8*Assumptions!B5</f>
        <v>16344</v>
      </c>
      <c r="X11" s="30" t="n">
        <f aca="false">X8*Assumptions!B5</f>
        <v>19320</v>
      </c>
      <c r="Y11" s="30" t="n">
        <f aca="false">Y8*Assumptions!B5</f>
        <v>22848</v>
      </c>
      <c r="Z11" s="30" t="n">
        <f aca="false">Z8*Assumptions!B5</f>
        <v>27024</v>
      </c>
      <c r="AA11" s="30" t="n">
        <f aca="false">AA8*Assumptions!B5</f>
        <v>31944</v>
      </c>
      <c r="AB11" s="30" t="n">
        <f aca="false">AB8*Assumptions!B5</f>
        <v>37776</v>
      </c>
      <c r="AC11" s="30" t="n">
        <f aca="false">AC8*Assumptions!B5</f>
        <v>44640</v>
      </c>
      <c r="AD11" s="30" t="n">
        <f aca="false">AD8*Assumptions!B5</f>
        <v>52752</v>
      </c>
      <c r="AE11" s="30" t="n">
        <f aca="false">AE8*Assumptions!B5</f>
        <v>62328</v>
      </c>
      <c r="AF11" s="30" t="n">
        <f aca="false">AF8*Assumptions!B5</f>
        <v>73632</v>
      </c>
      <c r="AG11" s="30" t="n">
        <f aca="false">AG8*Assumptions!B5</f>
        <v>86952</v>
      </c>
      <c r="AH11" s="30" t="n">
        <f aca="false">AH8*Assumptions!B5</f>
        <v>102672</v>
      </c>
      <c r="AI11" s="30" t="n">
        <f aca="false">AI8*Assumptions!B5</f>
        <v>121248</v>
      </c>
      <c r="AJ11" s="30" t="n">
        <f aca="false">AJ8*Assumptions!B5</f>
        <v>143160</v>
      </c>
      <c r="AK11" s="30" t="n">
        <f aca="false">AK8*Assumptions!B5</f>
        <v>168984</v>
      </c>
    </row>
    <row r="12" customFormat="false" ht="15.75" hidden="false" customHeight="true" outlineLevel="0" collapsed="false">
      <c r="A12" s="26" t="s">
        <v>133</v>
      </c>
      <c r="B12" s="30" t="n">
        <f aca="false">B9*Assumptions!B4</f>
        <v>12</v>
      </c>
      <c r="C12" s="30" t="n">
        <f aca="false">C9*Assumptions!B4</f>
        <v>24</v>
      </c>
      <c r="D12" s="30" t="n">
        <f aca="false">D9*Assumptions!B4</f>
        <v>48</v>
      </c>
      <c r="E12" s="30" t="n">
        <f aca="false">E9*Assumptions!B4</f>
        <v>60</v>
      </c>
      <c r="F12" s="30" t="n">
        <f aca="false">F9*Assumptions!B4</f>
        <v>84</v>
      </c>
      <c r="G12" s="30" t="n">
        <f aca="false">G9*Assumptions!B4</f>
        <v>108</v>
      </c>
      <c r="H12" s="30" t="n">
        <f aca="false">H9*Assumptions!B4</f>
        <v>132</v>
      </c>
      <c r="I12" s="30" t="n">
        <f aca="false">I9*Assumptions!B4</f>
        <v>168</v>
      </c>
      <c r="J12" s="30" t="n">
        <f aca="false">J9*Assumptions!B4</f>
        <v>204</v>
      </c>
      <c r="K12" s="30" t="n">
        <f aca="false">K9*Assumptions!B4</f>
        <v>240</v>
      </c>
      <c r="L12" s="30" t="n">
        <f aca="false">L9*Assumptions!B4</f>
        <v>300</v>
      </c>
      <c r="M12" s="30" t="n">
        <f aca="false">M9*Assumptions!B4</f>
        <v>360</v>
      </c>
      <c r="N12" s="30" t="n">
        <f aca="false">N9*Assumptions!B4</f>
        <v>432</v>
      </c>
      <c r="O12" s="30" t="n">
        <f aca="false">O9*Assumptions!B4</f>
        <v>516</v>
      </c>
      <c r="P12" s="30" t="n">
        <f aca="false">P9*Assumptions!B4</f>
        <v>624</v>
      </c>
      <c r="Q12" s="30" t="n">
        <f aca="false">Q9*Assumptions!B4</f>
        <v>732</v>
      </c>
      <c r="R12" s="30" t="n">
        <f aca="false">R9*Assumptions!B4</f>
        <v>876</v>
      </c>
      <c r="S12" s="30" t="n">
        <f aca="false">S9*Assumptions!B4</f>
        <v>1044</v>
      </c>
      <c r="T12" s="30" t="n">
        <f aca="false">T9*Assumptions!B4</f>
        <v>1236</v>
      </c>
      <c r="U12" s="30" t="n">
        <f aca="false">U9*Assumptions!B4</f>
        <v>1464</v>
      </c>
      <c r="V12" s="30" t="n">
        <f aca="false">V9*Assumptions!B4</f>
        <v>1728</v>
      </c>
      <c r="W12" s="30" t="n">
        <f aca="false">W9*Assumptions!B4</f>
        <v>2040</v>
      </c>
      <c r="X12" s="30" t="n">
        <f aca="false">X9*Assumptions!B4</f>
        <v>2412</v>
      </c>
      <c r="Y12" s="30" t="n">
        <f aca="false">Y9*Assumptions!B4</f>
        <v>2856</v>
      </c>
      <c r="Z12" s="30" t="n">
        <f aca="false">Z9*Assumptions!B4</f>
        <v>3372</v>
      </c>
      <c r="AA12" s="30" t="n">
        <f aca="false">AA9*Assumptions!B4</f>
        <v>3996</v>
      </c>
      <c r="AB12" s="30" t="n">
        <f aca="false">AB9*Assumptions!B4</f>
        <v>4716</v>
      </c>
      <c r="AC12" s="30" t="n">
        <f aca="false">AC9*Assumptions!B4</f>
        <v>5580</v>
      </c>
      <c r="AD12" s="30" t="n">
        <f aca="false">AD9*Assumptions!B4</f>
        <v>6588</v>
      </c>
      <c r="AE12" s="30" t="n">
        <f aca="false">AE9*Assumptions!B4</f>
        <v>7788</v>
      </c>
      <c r="AF12" s="30" t="n">
        <f aca="false">AF9*Assumptions!B4</f>
        <v>9204</v>
      </c>
      <c r="AG12" s="30" t="n">
        <f aca="false">AG9*Assumptions!B4</f>
        <v>10872</v>
      </c>
      <c r="AH12" s="30" t="n">
        <f aca="false">AH9*Assumptions!B4</f>
        <v>12840</v>
      </c>
      <c r="AI12" s="30" t="n">
        <f aca="false">AI9*Assumptions!B4</f>
        <v>15156</v>
      </c>
      <c r="AJ12" s="30" t="n">
        <f aca="false">AJ9*Assumptions!B4</f>
        <v>17892</v>
      </c>
      <c r="AK12" s="30" t="n">
        <f aca="false">AK9*Assumptions!B4</f>
        <v>21120</v>
      </c>
    </row>
    <row r="13" customFormat="false" ht="15.75" hidden="false" customHeight="true" outlineLevel="0" collapsed="false">
      <c r="A13" s="28" t="s">
        <v>134</v>
      </c>
      <c r="B13" s="31" t="n">
        <f aca="false">B11+B12</f>
        <v>108</v>
      </c>
      <c r="C13" s="31" t="n">
        <f aca="false">C11+C12</f>
        <v>240</v>
      </c>
      <c r="D13" s="31" t="n">
        <f aca="false">D11+D12</f>
        <v>384</v>
      </c>
      <c r="E13" s="31" t="n">
        <f aca="false">E11+E12</f>
        <v>540</v>
      </c>
      <c r="F13" s="31" t="n">
        <f aca="false">F11+F12</f>
        <v>708</v>
      </c>
      <c r="G13" s="31" t="n">
        <f aca="false">G11+G12</f>
        <v>924</v>
      </c>
      <c r="H13" s="31" t="n">
        <f aca="false">H11+H12</f>
        <v>1188</v>
      </c>
      <c r="I13" s="31" t="n">
        <f aca="false">I11+I12</f>
        <v>1464</v>
      </c>
      <c r="J13" s="31" t="n">
        <f aca="false">J11+J12</f>
        <v>1812</v>
      </c>
      <c r="K13" s="31" t="n">
        <f aca="false">K11+K12</f>
        <v>2208</v>
      </c>
      <c r="L13" s="31" t="n">
        <f aca="false">L11+L12</f>
        <v>2676</v>
      </c>
      <c r="M13" s="31" t="n">
        <f aca="false">M11+M12</f>
        <v>3240</v>
      </c>
      <c r="N13" s="31" t="n">
        <f aca="false">N11+N12</f>
        <v>3888</v>
      </c>
      <c r="O13" s="31" t="n">
        <f aca="false">O11+O12</f>
        <v>4668</v>
      </c>
      <c r="P13" s="31" t="n">
        <f aca="false">P11+P12</f>
        <v>5568</v>
      </c>
      <c r="Q13" s="31" t="n">
        <f aca="false">Q11+Q12</f>
        <v>6636</v>
      </c>
      <c r="R13" s="31" t="n">
        <f aca="false">R11+R12</f>
        <v>7884</v>
      </c>
      <c r="S13" s="31" t="n">
        <f aca="false">S11+S12</f>
        <v>9348</v>
      </c>
      <c r="T13" s="31" t="n">
        <f aca="false">T11+T12</f>
        <v>11076</v>
      </c>
      <c r="U13" s="31" t="n">
        <f aca="false">U11+U12</f>
        <v>13128</v>
      </c>
      <c r="V13" s="31" t="n">
        <f aca="false">V11+V12</f>
        <v>15552</v>
      </c>
      <c r="W13" s="31" t="n">
        <f aca="false">W11+W12</f>
        <v>18384</v>
      </c>
      <c r="X13" s="31" t="n">
        <f aca="false">X11+X12</f>
        <v>21732</v>
      </c>
      <c r="Y13" s="31" t="n">
        <f aca="false">Y11+Y12</f>
        <v>25704</v>
      </c>
      <c r="Z13" s="31" t="n">
        <f aca="false">Z11+Z12</f>
        <v>30396</v>
      </c>
      <c r="AA13" s="31" t="n">
        <f aca="false">AA11+AA12</f>
        <v>35940</v>
      </c>
      <c r="AB13" s="31" t="n">
        <f aca="false">AB11+AB12</f>
        <v>42492</v>
      </c>
      <c r="AC13" s="31" t="n">
        <f aca="false">AC11+AC12</f>
        <v>50220</v>
      </c>
      <c r="AD13" s="31" t="n">
        <f aca="false">AD11+AD12</f>
        <v>59340</v>
      </c>
      <c r="AE13" s="31" t="n">
        <f aca="false">AE11+AE12</f>
        <v>70116</v>
      </c>
      <c r="AF13" s="31" t="n">
        <f aca="false">AF11+AF12</f>
        <v>82836</v>
      </c>
      <c r="AG13" s="31" t="n">
        <f aca="false">AG11+AG12</f>
        <v>97824</v>
      </c>
      <c r="AH13" s="31" t="n">
        <f aca="false">AH11+AH12</f>
        <v>115512</v>
      </c>
      <c r="AI13" s="31" t="n">
        <f aca="false">AI11+AI12</f>
        <v>136404</v>
      </c>
      <c r="AJ13" s="31" t="n">
        <f aca="false">AJ11+AJ12</f>
        <v>161052</v>
      </c>
      <c r="AK13" s="31" t="n">
        <f aca="false">AK11+AK12</f>
        <v>190104</v>
      </c>
    </row>
    <row r="14" customFormat="false" ht="15.75" hidden="false" customHeight="true" outlineLevel="0" collapsed="false">
      <c r="A14" s="26" t="s">
        <v>135</v>
      </c>
      <c r="B14" s="30" t="n">
        <f aca="false">B13*12</f>
        <v>1296</v>
      </c>
      <c r="C14" s="30" t="n">
        <f aca="false">C13*12</f>
        <v>2880</v>
      </c>
      <c r="D14" s="30" t="n">
        <f aca="false">D13*12</f>
        <v>4608</v>
      </c>
      <c r="E14" s="30" t="n">
        <f aca="false">E13*12</f>
        <v>6480</v>
      </c>
      <c r="F14" s="30" t="n">
        <f aca="false">F13*12</f>
        <v>8496</v>
      </c>
      <c r="G14" s="30" t="n">
        <f aca="false">G13*12</f>
        <v>11088</v>
      </c>
      <c r="H14" s="30" t="n">
        <f aca="false">H13*12</f>
        <v>14256</v>
      </c>
      <c r="I14" s="30" t="n">
        <f aca="false">I13*12</f>
        <v>17568</v>
      </c>
      <c r="J14" s="30" t="n">
        <f aca="false">J13*12</f>
        <v>21744</v>
      </c>
      <c r="K14" s="30" t="n">
        <f aca="false">K13*12</f>
        <v>26496</v>
      </c>
      <c r="L14" s="30" t="n">
        <f aca="false">L13*12</f>
        <v>32112</v>
      </c>
      <c r="M14" s="30" t="n">
        <f aca="false">M13*12</f>
        <v>38880</v>
      </c>
      <c r="N14" s="30" t="n">
        <f aca="false">N13*12</f>
        <v>46656</v>
      </c>
      <c r="O14" s="30" t="n">
        <f aca="false">O13*12</f>
        <v>56016</v>
      </c>
      <c r="P14" s="30" t="n">
        <f aca="false">P13*12</f>
        <v>66816</v>
      </c>
      <c r="Q14" s="30" t="n">
        <f aca="false">Q13*12</f>
        <v>79632</v>
      </c>
      <c r="R14" s="30" t="n">
        <f aca="false">R13*12</f>
        <v>94608</v>
      </c>
      <c r="S14" s="30" t="n">
        <f aca="false">S13*12</f>
        <v>112176</v>
      </c>
      <c r="T14" s="30" t="n">
        <f aca="false">T13*12</f>
        <v>132912</v>
      </c>
      <c r="U14" s="30" t="n">
        <f aca="false">U13*12</f>
        <v>157536</v>
      </c>
      <c r="V14" s="30" t="n">
        <f aca="false">V13*12</f>
        <v>186624</v>
      </c>
      <c r="W14" s="30" t="n">
        <f aca="false">W13*12</f>
        <v>220608</v>
      </c>
      <c r="X14" s="30" t="n">
        <f aca="false">X13*12</f>
        <v>260784</v>
      </c>
      <c r="Y14" s="30" t="n">
        <f aca="false">Y13*12</f>
        <v>308448</v>
      </c>
      <c r="Z14" s="30" t="n">
        <f aca="false">Z13*12</f>
        <v>364752</v>
      </c>
      <c r="AA14" s="30" t="n">
        <f aca="false">AA13*12</f>
        <v>431280</v>
      </c>
      <c r="AB14" s="30" t="n">
        <f aca="false">AB13*12</f>
        <v>509904</v>
      </c>
      <c r="AC14" s="30" t="n">
        <f aca="false">AC13*12</f>
        <v>602640</v>
      </c>
      <c r="AD14" s="30" t="n">
        <f aca="false">AD13*12</f>
        <v>712080</v>
      </c>
      <c r="AE14" s="30" t="n">
        <f aca="false">AE13*12</f>
        <v>841392</v>
      </c>
      <c r="AF14" s="30" t="n">
        <f aca="false">AF13*12</f>
        <v>994032</v>
      </c>
      <c r="AG14" s="30" t="n">
        <f aca="false">AG13*12</f>
        <v>1173888</v>
      </c>
      <c r="AH14" s="30" t="n">
        <f aca="false">AH13*12</f>
        <v>1386144</v>
      </c>
      <c r="AI14" s="30" t="n">
        <f aca="false">AI13*12</f>
        <v>1636848</v>
      </c>
      <c r="AJ14" s="30" t="n">
        <f aca="false">AJ13*12</f>
        <v>1932624</v>
      </c>
      <c r="AK14" s="30" t="n">
        <f aca="false">AK13*12</f>
        <v>2281248</v>
      </c>
    </row>
    <row r="15" customFormat="false" ht="16.5" hidden="false" customHeight="true" outlineLevel="0" collapsed="false">
      <c r="A15" s="13" t="s">
        <v>136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customFormat="false" ht="15.75" hidden="false" customHeight="true" outlineLevel="0" collapsed="false">
      <c r="A16" s="26" t="s">
        <v>137</v>
      </c>
      <c r="B16" s="30" t="n">
        <f aca="false">Assumptions!B21+Assumptions!B22+Assumptions!B23+Assumptions!B24+Assumptions!B25+Assumptions!B26+Assumptions!B27+Assumptions!B28+Assumptions!B29</f>
        <v>54.84</v>
      </c>
      <c r="C16" s="30" t="n">
        <f aca="false">Assumptions!B21+Assumptions!B22+Assumptions!B23+Assumptions!B24+Assumptions!B25+Assumptions!B26+Assumptions!B27+Assumptions!B28+Assumptions!B29</f>
        <v>54.84</v>
      </c>
      <c r="D16" s="30" t="n">
        <f aca="false">Assumptions!B21+Assumptions!B22+Assumptions!B23+Assumptions!B24+Assumptions!B25+Assumptions!B26+Assumptions!B27+Assumptions!B28+Assumptions!B29</f>
        <v>54.84</v>
      </c>
      <c r="E16" s="30" t="n">
        <f aca="false">Assumptions!B21+Assumptions!B22+Assumptions!B23+Assumptions!B24+Assumptions!B25+Assumptions!B26+Assumptions!B27+Assumptions!B28+Assumptions!B29</f>
        <v>54.84</v>
      </c>
      <c r="F16" s="30" t="n">
        <f aca="false">Assumptions!B21+Assumptions!B22+Assumptions!B23+Assumptions!B24+Assumptions!B25+Assumptions!B26+Assumptions!B27+Assumptions!B28+Assumptions!B29</f>
        <v>54.84</v>
      </c>
      <c r="G16" s="30" t="n">
        <f aca="false">Assumptions!B21+Assumptions!B22+Assumptions!B23+Assumptions!B24+Assumptions!B25+Assumptions!B26+Assumptions!B27+Assumptions!B28+Assumptions!B29</f>
        <v>54.84</v>
      </c>
      <c r="H16" s="30" t="n">
        <f aca="false">Assumptions!B21+Assumptions!B22+Assumptions!B23+Assumptions!B24+Assumptions!B25+Assumptions!B26+Assumptions!B27+Assumptions!B28+Assumptions!B29</f>
        <v>54.84</v>
      </c>
      <c r="I16" s="30" t="n">
        <f aca="false">Assumptions!B21+Assumptions!B22+Assumptions!B23+Assumptions!B24+Assumptions!B25+Assumptions!B26+Assumptions!B27+Assumptions!B28+Assumptions!B29</f>
        <v>54.84</v>
      </c>
      <c r="J16" s="30" t="n">
        <f aca="false">Assumptions!B21+Assumptions!B22+Assumptions!B23+Assumptions!B24+Assumptions!B25+Assumptions!B26+Assumptions!B27+Assumptions!B28+Assumptions!B29</f>
        <v>54.84</v>
      </c>
      <c r="K16" s="30" t="n">
        <f aca="false">Assumptions!B21+Assumptions!B22+Assumptions!B23+Assumptions!B24+Assumptions!B25+Assumptions!B26+Assumptions!B27+Assumptions!B28+Assumptions!B29</f>
        <v>54.84</v>
      </c>
      <c r="L16" s="30" t="n">
        <f aca="false">Assumptions!B21+Assumptions!B22+Assumptions!B23+Assumptions!B24+Assumptions!B25+Assumptions!B26+Assumptions!B27+Assumptions!B28+Assumptions!B29</f>
        <v>54.84</v>
      </c>
      <c r="M16" s="30" t="n">
        <f aca="false">Assumptions!B21+Assumptions!B22+Assumptions!B23+Assumptions!B24+Assumptions!B25+Assumptions!B26+Assumptions!B27+Assumptions!B28+Assumptions!B29</f>
        <v>54.84</v>
      </c>
      <c r="N16" s="30" t="n">
        <f aca="false">Assumptions!B21+Assumptions!B22+Assumptions!B23+Assumptions!B24+Assumptions!B25+Assumptions!B26+Assumptions!B27+Assumptions!B28+Assumptions!B29</f>
        <v>54.84</v>
      </c>
      <c r="O16" s="30" t="n">
        <f aca="false">Assumptions!B21+Assumptions!B22+Assumptions!B23+Assumptions!B24+Assumptions!B25+Assumptions!B26+Assumptions!B27+Assumptions!B28+Assumptions!B29</f>
        <v>54.84</v>
      </c>
      <c r="P16" s="30" t="n">
        <f aca="false">Assumptions!B21+Assumptions!B22+Assumptions!B23+Assumptions!B24+Assumptions!B25+Assumptions!B26+Assumptions!B27+Assumptions!B28+Assumptions!B29</f>
        <v>54.84</v>
      </c>
      <c r="Q16" s="30" t="n">
        <f aca="false">Assumptions!B21+Assumptions!B22+Assumptions!B23+Assumptions!B24+Assumptions!B25+Assumptions!B26+Assumptions!B27+Assumptions!B28+Assumptions!B29</f>
        <v>54.84</v>
      </c>
      <c r="R16" s="30" t="n">
        <f aca="false">Assumptions!B21+Assumptions!B22+Assumptions!B23+Assumptions!B24+Assumptions!B25+Assumptions!B26+Assumptions!B27+Assumptions!B28+Assumptions!B29</f>
        <v>54.84</v>
      </c>
      <c r="S16" s="30" t="n">
        <f aca="false">Assumptions!B21+Assumptions!B22+Assumptions!B23+Assumptions!B24+Assumptions!B25+Assumptions!B26+Assumptions!B27+Assumptions!B28+Assumptions!B29</f>
        <v>54.84</v>
      </c>
      <c r="T16" s="30" t="n">
        <f aca="false">Assumptions!B21+Assumptions!B22+Assumptions!B23+Assumptions!B24+Assumptions!B25+Assumptions!B26+Assumptions!B27+Assumptions!B28+Assumptions!B29</f>
        <v>54.84</v>
      </c>
      <c r="U16" s="30" t="n">
        <f aca="false">Assumptions!B21+Assumptions!B22+Assumptions!B23+Assumptions!B24+Assumptions!B25+Assumptions!B26+Assumptions!B27+Assumptions!B28+Assumptions!B29</f>
        <v>54.84</v>
      </c>
      <c r="V16" s="30" t="n">
        <f aca="false">Assumptions!B21+Assumptions!B22+Assumptions!B23+Assumptions!B24+Assumptions!B25+Assumptions!B26+Assumptions!B27+Assumptions!B28+Assumptions!B29</f>
        <v>54.84</v>
      </c>
      <c r="W16" s="30" t="n">
        <f aca="false">Assumptions!B21+Assumptions!B22+Assumptions!B23+Assumptions!B24+Assumptions!B25+Assumptions!B26+Assumptions!B27+Assumptions!B28+Assumptions!B29</f>
        <v>54.84</v>
      </c>
      <c r="X16" s="30" t="n">
        <f aca="false">Assumptions!B21+Assumptions!B22+Assumptions!B23+Assumptions!B24+Assumptions!B25+Assumptions!B26+Assumptions!B27+Assumptions!B28+Assumptions!B29</f>
        <v>54.84</v>
      </c>
      <c r="Y16" s="30" t="n">
        <f aca="false">Assumptions!B21+Assumptions!B22+Assumptions!B23+Assumptions!B24+Assumptions!B25+Assumptions!B26+Assumptions!B27+Assumptions!B28+Assumptions!B29</f>
        <v>54.84</v>
      </c>
      <c r="Z16" s="30" t="n">
        <f aca="false">Assumptions!B21+Assumptions!B22+Assumptions!B23+Assumptions!B24+Assumptions!B25+Assumptions!B26+Assumptions!B27+Assumptions!B28+Assumptions!B29</f>
        <v>54.84</v>
      </c>
      <c r="AA16" s="30" t="n">
        <f aca="false">Assumptions!B21+Assumptions!B22+Assumptions!B23+Assumptions!B24+Assumptions!B25+Assumptions!B26+Assumptions!B27+Assumptions!B28+Assumptions!B29</f>
        <v>54.84</v>
      </c>
      <c r="AB16" s="30" t="n">
        <f aca="false">Assumptions!B21+Assumptions!B22+Assumptions!B23+Assumptions!B24+Assumptions!B25+Assumptions!B26+Assumptions!B27+Assumptions!B28+Assumptions!B29</f>
        <v>54.84</v>
      </c>
      <c r="AC16" s="30" t="n">
        <f aca="false">Assumptions!B21+Assumptions!B22+Assumptions!B23+Assumptions!B24+Assumptions!B25+Assumptions!B26+Assumptions!B27+Assumptions!B28+Assumptions!B29</f>
        <v>54.84</v>
      </c>
      <c r="AD16" s="30" t="n">
        <f aca="false">Assumptions!B21+Assumptions!B22+Assumptions!B23+Assumptions!B24+Assumptions!B25+Assumptions!B26+Assumptions!B27+Assumptions!B28+Assumptions!B29</f>
        <v>54.84</v>
      </c>
      <c r="AE16" s="30" t="n">
        <f aca="false">Assumptions!B21+Assumptions!B22+Assumptions!B23+Assumptions!B24+Assumptions!B25+Assumptions!B26+Assumptions!B27+Assumptions!B28+Assumptions!B29</f>
        <v>54.84</v>
      </c>
      <c r="AF16" s="30" t="n">
        <f aca="false">Assumptions!B21+Assumptions!B22+Assumptions!B23+Assumptions!B24+Assumptions!B25+Assumptions!B26+Assumptions!B27+Assumptions!B28+Assumptions!B29</f>
        <v>54.84</v>
      </c>
      <c r="AG16" s="30" t="n">
        <f aca="false">Assumptions!B21+Assumptions!B22+Assumptions!B23+Assumptions!B24+Assumptions!B25+Assumptions!B26+Assumptions!B27+Assumptions!B28+Assumptions!B29</f>
        <v>54.84</v>
      </c>
      <c r="AH16" s="30" t="n">
        <f aca="false">Assumptions!B21+Assumptions!B22+Assumptions!B23+Assumptions!B24+Assumptions!B25+Assumptions!B26+Assumptions!B27+Assumptions!B28+Assumptions!B29</f>
        <v>54.84</v>
      </c>
      <c r="AI16" s="30" t="n">
        <f aca="false">Assumptions!B21+Assumptions!B22+Assumptions!B23+Assumptions!B24+Assumptions!B25+Assumptions!B26+Assumptions!B27+Assumptions!B28+Assumptions!B29</f>
        <v>54.84</v>
      </c>
      <c r="AJ16" s="30" t="n">
        <f aca="false">Assumptions!B21+Assumptions!B22+Assumptions!B23+Assumptions!B24+Assumptions!B25+Assumptions!B26+Assumptions!B27+Assumptions!B28+Assumptions!B29</f>
        <v>54.84</v>
      </c>
      <c r="AK16" s="30" t="n">
        <f aca="false">Assumptions!B21+Assumptions!B22+Assumptions!B23+Assumptions!B24+Assumptions!B25+Assumptions!B26+Assumptions!B27+Assumptions!B28+Assumptions!B29</f>
        <v>54.84</v>
      </c>
    </row>
    <row r="17" customFormat="false" ht="15.75" hidden="false" customHeight="true" outlineLevel="0" collapsed="false">
      <c r="A17" s="26" t="s">
        <v>138</v>
      </c>
      <c r="B17" s="30" t="n">
        <f aca="false">B8*Assumptions!B33</f>
        <v>8.16</v>
      </c>
      <c r="C17" s="30" t="n">
        <f aca="false">C8*Assumptions!B33</f>
        <v>18.36</v>
      </c>
      <c r="D17" s="30" t="n">
        <f aca="false">D8*Assumptions!B33</f>
        <v>28.56</v>
      </c>
      <c r="E17" s="30" t="n">
        <f aca="false">E8*Assumptions!B33</f>
        <v>40.8</v>
      </c>
      <c r="F17" s="30" t="n">
        <f aca="false">F8*Assumptions!B33</f>
        <v>53.04</v>
      </c>
      <c r="G17" s="30" t="n">
        <f aca="false">G8*Assumptions!B33</f>
        <v>69.36</v>
      </c>
      <c r="H17" s="30" t="n">
        <f aca="false">H8*Assumptions!B33</f>
        <v>89.76</v>
      </c>
      <c r="I17" s="30" t="n">
        <f aca="false">I8*Assumptions!B33</f>
        <v>110.16</v>
      </c>
      <c r="J17" s="30" t="n">
        <f aca="false">J8*Assumptions!B33</f>
        <v>136.68</v>
      </c>
      <c r="K17" s="30" t="n">
        <f aca="false">K8*Assumptions!B33</f>
        <v>167.28</v>
      </c>
      <c r="L17" s="30" t="n">
        <f aca="false">L8*Assumptions!B33</f>
        <v>201.96</v>
      </c>
      <c r="M17" s="30" t="n">
        <f aca="false">M8*Assumptions!B33</f>
        <v>244.8</v>
      </c>
      <c r="N17" s="30" t="n">
        <f aca="false">N8*Assumptions!B33</f>
        <v>293.76</v>
      </c>
      <c r="O17" s="30" t="n">
        <f aca="false">O8*Assumptions!B33</f>
        <v>352.92</v>
      </c>
      <c r="P17" s="30" t="n">
        <f aca="false">P8*Assumptions!B33</f>
        <v>420.24</v>
      </c>
      <c r="Q17" s="30" t="n">
        <f aca="false">Q8*Assumptions!B33</f>
        <v>501.84</v>
      </c>
      <c r="R17" s="30" t="n">
        <f aca="false">R8*Assumptions!B33</f>
        <v>595.68</v>
      </c>
      <c r="S17" s="30" t="n">
        <f aca="false">S8*Assumptions!B33</f>
        <v>705.84</v>
      </c>
      <c r="T17" s="30" t="n">
        <f aca="false">T8*Assumptions!B33</f>
        <v>836.4</v>
      </c>
      <c r="U17" s="30" t="n">
        <f aca="false">U8*Assumptions!B33</f>
        <v>991.44</v>
      </c>
      <c r="V17" s="30" t="n">
        <f aca="false">V8*Assumptions!B33</f>
        <v>1175.04</v>
      </c>
      <c r="W17" s="30" t="n">
        <f aca="false">W8*Assumptions!B33</f>
        <v>1389.24</v>
      </c>
      <c r="X17" s="30" t="n">
        <f aca="false">X8*Assumptions!B33</f>
        <v>1642.2</v>
      </c>
      <c r="Y17" s="30" t="n">
        <f aca="false">Y8*Assumptions!B33</f>
        <v>1942.08</v>
      </c>
      <c r="Z17" s="30" t="n">
        <f aca="false">Z8*Assumptions!B33</f>
        <v>2297.04</v>
      </c>
      <c r="AA17" s="30" t="n">
        <f aca="false">AA8*Assumptions!B33</f>
        <v>2715.24</v>
      </c>
      <c r="AB17" s="30" t="n">
        <f aca="false">AB8*Assumptions!B33</f>
        <v>3210.96</v>
      </c>
      <c r="AC17" s="30" t="n">
        <f aca="false">AC8*Assumptions!B33</f>
        <v>3794.4</v>
      </c>
      <c r="AD17" s="30" t="n">
        <f aca="false">AD8*Assumptions!B33</f>
        <v>4483.92</v>
      </c>
      <c r="AE17" s="30" t="n">
        <f aca="false">AE8*Assumptions!B33</f>
        <v>5297.88</v>
      </c>
      <c r="AF17" s="30" t="n">
        <f aca="false">AF8*Assumptions!B33</f>
        <v>6258.72</v>
      </c>
      <c r="AG17" s="30" t="n">
        <f aca="false">AG8*Assumptions!B33</f>
        <v>7390.92</v>
      </c>
      <c r="AH17" s="30" t="n">
        <f aca="false">AH8*Assumptions!B33</f>
        <v>8727.12</v>
      </c>
      <c r="AI17" s="30" t="n">
        <f aca="false">AI8*Assumptions!B33</f>
        <v>10306.08</v>
      </c>
      <c r="AJ17" s="30" t="n">
        <f aca="false">AJ8*Assumptions!B33</f>
        <v>12168.6</v>
      </c>
      <c r="AK17" s="30" t="n">
        <f aca="false">AK8*Assumptions!B33</f>
        <v>14363.64</v>
      </c>
    </row>
    <row r="18" customFormat="false" ht="15.75" hidden="false" customHeight="true" outlineLevel="0" collapsed="false">
      <c r="A18" s="26" t="s">
        <v>139</v>
      </c>
      <c r="B18" s="30" t="n">
        <f aca="false">B9*Assumptions!B32</f>
        <v>0.62</v>
      </c>
      <c r="C18" s="30" t="n">
        <f aca="false">C9*Assumptions!B32</f>
        <v>1.24</v>
      </c>
      <c r="D18" s="30" t="n">
        <f aca="false">D9*Assumptions!B32</f>
        <v>2.48</v>
      </c>
      <c r="E18" s="30" t="n">
        <f aca="false">E9*Assumptions!B32</f>
        <v>3.1</v>
      </c>
      <c r="F18" s="30" t="n">
        <f aca="false">F9*Assumptions!B32</f>
        <v>4.34</v>
      </c>
      <c r="G18" s="30" t="n">
        <f aca="false">G9*Assumptions!B32</f>
        <v>5.58</v>
      </c>
      <c r="H18" s="30" t="n">
        <f aca="false">H9*Assumptions!B32</f>
        <v>6.82</v>
      </c>
      <c r="I18" s="30" t="n">
        <f aca="false">I9*Assumptions!B32</f>
        <v>8.68</v>
      </c>
      <c r="J18" s="30" t="n">
        <f aca="false">J9*Assumptions!B32</f>
        <v>10.54</v>
      </c>
      <c r="K18" s="30" t="n">
        <f aca="false">K9*Assumptions!B32</f>
        <v>12.4</v>
      </c>
      <c r="L18" s="30" t="n">
        <f aca="false">L9*Assumptions!B32</f>
        <v>15.5</v>
      </c>
      <c r="M18" s="30" t="n">
        <f aca="false">M9*Assumptions!B32</f>
        <v>18.6</v>
      </c>
      <c r="N18" s="30" t="n">
        <f aca="false">N9*Assumptions!B32</f>
        <v>22.32</v>
      </c>
      <c r="O18" s="30" t="n">
        <f aca="false">O9*Assumptions!B32</f>
        <v>26.66</v>
      </c>
      <c r="P18" s="30" t="n">
        <f aca="false">P9*Assumptions!B32</f>
        <v>32.24</v>
      </c>
      <c r="Q18" s="30" t="n">
        <f aca="false">Q9*Assumptions!B32</f>
        <v>37.82</v>
      </c>
      <c r="R18" s="30" t="n">
        <f aca="false">R9*Assumptions!B32</f>
        <v>45.26</v>
      </c>
      <c r="S18" s="30" t="n">
        <f aca="false">S9*Assumptions!B32</f>
        <v>53.94</v>
      </c>
      <c r="T18" s="30" t="n">
        <f aca="false">T9*Assumptions!B32</f>
        <v>63.86</v>
      </c>
      <c r="U18" s="30" t="n">
        <f aca="false">U9*Assumptions!B32</f>
        <v>75.64</v>
      </c>
      <c r="V18" s="30" t="n">
        <f aca="false">V9*Assumptions!B32</f>
        <v>89.28</v>
      </c>
      <c r="W18" s="30" t="n">
        <f aca="false">W9*Assumptions!B32</f>
        <v>105.4</v>
      </c>
      <c r="X18" s="30" t="n">
        <f aca="false">X9*Assumptions!B32</f>
        <v>124.62</v>
      </c>
      <c r="Y18" s="30" t="n">
        <f aca="false">Y9*Assumptions!B32</f>
        <v>147.56</v>
      </c>
      <c r="Z18" s="30" t="n">
        <f aca="false">Z9*Assumptions!B32</f>
        <v>174.22</v>
      </c>
      <c r="AA18" s="30" t="n">
        <f aca="false">AA9*Assumptions!B32</f>
        <v>206.46</v>
      </c>
      <c r="AB18" s="30" t="n">
        <f aca="false">AB9*Assumptions!B32</f>
        <v>243.66</v>
      </c>
      <c r="AC18" s="30" t="n">
        <f aca="false">AC9*Assumptions!B32</f>
        <v>288.3</v>
      </c>
      <c r="AD18" s="30" t="n">
        <f aca="false">AD9*Assumptions!B32</f>
        <v>340.38</v>
      </c>
      <c r="AE18" s="30" t="n">
        <f aca="false">AE9*Assumptions!B32</f>
        <v>402.38</v>
      </c>
      <c r="AF18" s="30" t="n">
        <f aca="false">AF9*Assumptions!B32</f>
        <v>475.54</v>
      </c>
      <c r="AG18" s="30" t="n">
        <f aca="false">AG9*Assumptions!B32</f>
        <v>561.72</v>
      </c>
      <c r="AH18" s="30" t="n">
        <f aca="false">AH9*Assumptions!B32</f>
        <v>663.4</v>
      </c>
      <c r="AI18" s="30" t="n">
        <f aca="false">AI9*Assumptions!B32</f>
        <v>783.06</v>
      </c>
      <c r="AJ18" s="30" t="n">
        <f aca="false">AJ9*Assumptions!B32</f>
        <v>924.42</v>
      </c>
      <c r="AK18" s="30" t="n">
        <f aca="false">AK9*Assumptions!B32</f>
        <v>1091.2</v>
      </c>
    </row>
    <row r="19" customFormat="false" ht="15.75" hidden="false" customHeight="true" outlineLevel="0" collapsed="false">
      <c r="A19" s="32" t="s">
        <v>140</v>
      </c>
      <c r="B19" s="30" t="n">
        <f aca="false">B16+B17+B18</f>
        <v>63.62</v>
      </c>
      <c r="C19" s="30" t="n">
        <f aca="false">C16+C17+C18</f>
        <v>74.44</v>
      </c>
      <c r="D19" s="30" t="n">
        <f aca="false">D16+D17+D18</f>
        <v>85.88</v>
      </c>
      <c r="E19" s="30" t="n">
        <f aca="false">E16+E17+E18</f>
        <v>98.74</v>
      </c>
      <c r="F19" s="30" t="n">
        <f aca="false">F16+F17+F18</f>
        <v>112.22</v>
      </c>
      <c r="G19" s="30" t="n">
        <f aca="false">G16+G17+G18</f>
        <v>129.78</v>
      </c>
      <c r="H19" s="30" t="n">
        <f aca="false">H16+H17+H18</f>
        <v>151.42</v>
      </c>
      <c r="I19" s="30" t="n">
        <f aca="false">I16+I17+I18</f>
        <v>173.68</v>
      </c>
      <c r="J19" s="30" t="n">
        <f aca="false">J16+J17+J18</f>
        <v>202.06</v>
      </c>
      <c r="K19" s="30" t="n">
        <f aca="false">K16+K17+K18</f>
        <v>234.52</v>
      </c>
      <c r="L19" s="30" t="n">
        <f aca="false">L16+L17+L18</f>
        <v>272.3</v>
      </c>
      <c r="M19" s="30" t="n">
        <f aca="false">M16+M17+M18</f>
        <v>318.24</v>
      </c>
      <c r="N19" s="30" t="n">
        <f aca="false">N16+N17+N18</f>
        <v>370.92</v>
      </c>
      <c r="O19" s="30" t="n">
        <f aca="false">O16+O17+O18</f>
        <v>434.42</v>
      </c>
      <c r="P19" s="30" t="n">
        <f aca="false">P16+P17+P18</f>
        <v>507.32</v>
      </c>
      <c r="Q19" s="30" t="n">
        <f aca="false">Q16+Q17+Q18</f>
        <v>594.5</v>
      </c>
      <c r="R19" s="30" t="n">
        <f aca="false">R16+R17+R18</f>
        <v>695.78</v>
      </c>
      <c r="S19" s="30" t="n">
        <f aca="false">S16+S17+S18</f>
        <v>814.62</v>
      </c>
      <c r="T19" s="30" t="n">
        <f aca="false">T16+T17+T18</f>
        <v>955.1</v>
      </c>
      <c r="U19" s="30" t="n">
        <f aca="false">U16+U17+U18</f>
        <v>1121.92</v>
      </c>
      <c r="V19" s="30" t="n">
        <f aca="false">V16+V17+V18</f>
        <v>1319.16</v>
      </c>
      <c r="W19" s="30" t="n">
        <f aca="false">W16+W17+W18</f>
        <v>1549.48</v>
      </c>
      <c r="X19" s="30" t="n">
        <f aca="false">X16+X17+X18</f>
        <v>1821.66</v>
      </c>
      <c r="Y19" s="30" t="n">
        <f aca="false">Y16+Y17+Y18</f>
        <v>2144.48</v>
      </c>
      <c r="Z19" s="30" t="n">
        <f aca="false">Z16+Z17+Z18</f>
        <v>2526.1</v>
      </c>
      <c r="AA19" s="30" t="n">
        <f aca="false">AA16+AA17+AA18</f>
        <v>2976.54</v>
      </c>
      <c r="AB19" s="30" t="n">
        <f aca="false">AB16+AB17+AB18</f>
        <v>3509.46</v>
      </c>
      <c r="AC19" s="30" t="n">
        <f aca="false">AC16+AC17+AC18</f>
        <v>4137.54</v>
      </c>
      <c r="AD19" s="30" t="n">
        <f aca="false">AD16+AD17+AD18</f>
        <v>4879.14</v>
      </c>
      <c r="AE19" s="30" t="n">
        <f aca="false">AE16+AE17+AE18</f>
        <v>5755.1</v>
      </c>
      <c r="AF19" s="30" t="n">
        <f aca="false">AF16+AF17+AF18</f>
        <v>6789.1</v>
      </c>
      <c r="AG19" s="30" t="n">
        <f aca="false">AG16+AG17+AG18</f>
        <v>8007.48</v>
      </c>
      <c r="AH19" s="30" t="n">
        <f aca="false">AH16+AH17+AH18</f>
        <v>9445.36</v>
      </c>
      <c r="AI19" s="30" t="n">
        <f aca="false">AI16+AI17+AI18</f>
        <v>11143.98</v>
      </c>
      <c r="AJ19" s="30" t="n">
        <f aca="false">AJ16+AJ17+AJ18</f>
        <v>13147.86</v>
      </c>
      <c r="AK19" s="30" t="n">
        <f aca="false">AK16+AK17+AK18</f>
        <v>15509.68</v>
      </c>
    </row>
    <row r="20" customFormat="false" ht="15.75" hidden="false" customHeight="true" outlineLevel="0" collapsed="false">
      <c r="A20" s="28" t="s">
        <v>141</v>
      </c>
      <c r="B20" s="31" t="n">
        <f aca="false">B13-B19</f>
        <v>44.38</v>
      </c>
      <c r="C20" s="31" t="n">
        <f aca="false">C13-C19</f>
        <v>165.56</v>
      </c>
      <c r="D20" s="31" t="n">
        <f aca="false">D13-D19</f>
        <v>298.12</v>
      </c>
      <c r="E20" s="31" t="n">
        <f aca="false">E13-E19</f>
        <v>441.26</v>
      </c>
      <c r="F20" s="31" t="n">
        <f aca="false">F13-F19</f>
        <v>595.78</v>
      </c>
      <c r="G20" s="31" t="n">
        <f aca="false">G13-G19</f>
        <v>794.22</v>
      </c>
      <c r="H20" s="31" t="n">
        <f aca="false">H13-H19</f>
        <v>1036.58</v>
      </c>
      <c r="I20" s="31" t="n">
        <f aca="false">I13-I19</f>
        <v>1290.32</v>
      </c>
      <c r="J20" s="31" t="n">
        <f aca="false">J13-J19</f>
        <v>1609.94</v>
      </c>
      <c r="K20" s="31" t="n">
        <f aca="false">K13-K19</f>
        <v>1973.48</v>
      </c>
      <c r="L20" s="31" t="n">
        <f aca="false">L13-L19</f>
        <v>2403.7</v>
      </c>
      <c r="M20" s="31" t="n">
        <f aca="false">M13-M19</f>
        <v>2921.76</v>
      </c>
      <c r="N20" s="31" t="n">
        <f aca="false">N13-N19</f>
        <v>3517.08</v>
      </c>
      <c r="O20" s="31" t="n">
        <f aca="false">O13-O19</f>
        <v>4233.58</v>
      </c>
      <c r="P20" s="31" t="n">
        <f aca="false">P13-P19</f>
        <v>5060.68</v>
      </c>
      <c r="Q20" s="31" t="n">
        <f aca="false">Q13-Q19</f>
        <v>6041.5</v>
      </c>
      <c r="R20" s="31" t="n">
        <f aca="false">R13-R19</f>
        <v>7188.22</v>
      </c>
      <c r="S20" s="31" t="n">
        <f aca="false">S13-S19</f>
        <v>8533.38</v>
      </c>
      <c r="T20" s="31" t="n">
        <f aca="false">T13-T19</f>
        <v>10120.9</v>
      </c>
      <c r="U20" s="31" t="n">
        <f aca="false">U13-U19</f>
        <v>12006.08</v>
      </c>
      <c r="V20" s="31" t="n">
        <f aca="false">V13-V19</f>
        <v>14232.84</v>
      </c>
      <c r="W20" s="31" t="n">
        <f aca="false">W13-W19</f>
        <v>16834.52</v>
      </c>
      <c r="X20" s="31" t="n">
        <f aca="false">X13-X19</f>
        <v>19910.34</v>
      </c>
      <c r="Y20" s="31" t="n">
        <f aca="false">Y13-Y19</f>
        <v>23559.52</v>
      </c>
      <c r="Z20" s="31" t="n">
        <f aca="false">Z13-Z19</f>
        <v>27869.9</v>
      </c>
      <c r="AA20" s="31" t="n">
        <f aca="false">AA13-AA19</f>
        <v>32963.46</v>
      </c>
      <c r="AB20" s="31" t="n">
        <f aca="false">AB13-AB19</f>
        <v>38982.54</v>
      </c>
      <c r="AC20" s="31" t="n">
        <f aca="false">AC13-AC19</f>
        <v>46082.46</v>
      </c>
      <c r="AD20" s="31" t="n">
        <f aca="false">AD13-AD19</f>
        <v>54460.86</v>
      </c>
      <c r="AE20" s="31" t="n">
        <f aca="false">AE13-AE19</f>
        <v>64360.9</v>
      </c>
      <c r="AF20" s="31" t="n">
        <f aca="false">AF13-AF19</f>
        <v>76046.9</v>
      </c>
      <c r="AG20" s="31" t="n">
        <f aca="false">AG13-AG19</f>
        <v>89816.52</v>
      </c>
      <c r="AH20" s="31" t="n">
        <f aca="false">AH13-AH19</f>
        <v>106066.64</v>
      </c>
      <c r="AI20" s="31" t="n">
        <f aca="false">AI13-AI19</f>
        <v>125260.02</v>
      </c>
      <c r="AJ20" s="31" t="n">
        <f aca="false">AJ13-AJ19</f>
        <v>147904.14</v>
      </c>
      <c r="AK20" s="31" t="n">
        <f aca="false">AK13-AK19</f>
        <v>174594.32</v>
      </c>
    </row>
    <row r="21" customFormat="false" ht="15.75" hidden="false" customHeight="true" outlineLevel="0" collapsed="false">
      <c r="A21" s="26" t="s">
        <v>142</v>
      </c>
      <c r="B21" s="33" t="n">
        <f aca="false">IFERROR(B20/B13,0)</f>
        <v>0.410925925925926</v>
      </c>
      <c r="C21" s="33" t="n">
        <f aca="false">IFERROR(C20/C13,0)</f>
        <v>0.689833333333333</v>
      </c>
      <c r="D21" s="33" t="n">
        <f aca="false">IFERROR(D20/D13,0)</f>
        <v>0.776354166666667</v>
      </c>
      <c r="E21" s="33" t="n">
        <f aca="false">IFERROR(E20/E13,0)</f>
        <v>0.817148148148148</v>
      </c>
      <c r="F21" s="33" t="n">
        <f aca="false">IFERROR(F20/F13,0)</f>
        <v>0.841497175141243</v>
      </c>
      <c r="G21" s="33" t="n">
        <f aca="false">IFERROR(G20/G13,0)</f>
        <v>0.859545454545455</v>
      </c>
      <c r="H21" s="33" t="n">
        <f aca="false">IFERROR(H20/H13,0)</f>
        <v>0.872542087542088</v>
      </c>
      <c r="I21" s="33" t="n">
        <f aca="false">IFERROR(I20/I13,0)</f>
        <v>0.881366120218579</v>
      </c>
      <c r="J21" s="33" t="n">
        <f aca="false">IFERROR(J20/J13,0)</f>
        <v>0.888487858719647</v>
      </c>
      <c r="K21" s="33" t="n">
        <f aca="false">IFERROR(K20/K13,0)</f>
        <v>0.893786231884058</v>
      </c>
      <c r="L21" s="33" t="n">
        <f aca="false">IFERROR(L20/L13,0)</f>
        <v>0.898243647234679</v>
      </c>
      <c r="M21" s="33" t="n">
        <f aca="false">IFERROR(M20/M13,0)</f>
        <v>0.901777777777778</v>
      </c>
      <c r="N21" s="33" t="n">
        <f aca="false">IFERROR(N20/N13,0)</f>
        <v>0.904598765432099</v>
      </c>
      <c r="O21" s="33" t="n">
        <f aca="false">IFERROR(O20/O13,0)</f>
        <v>0.906936589545844</v>
      </c>
      <c r="P21" s="33" t="n">
        <f aca="false">IFERROR(P20/P13,0)</f>
        <v>0.908886494252874</v>
      </c>
      <c r="Q21" s="33" t="n">
        <f aca="false">IFERROR(Q20/Q13,0)</f>
        <v>0.91041289933695</v>
      </c>
      <c r="R21" s="33" t="n">
        <f aca="false">IFERROR(R20/R13,0)</f>
        <v>0.911747843734145</v>
      </c>
      <c r="S21" s="33" t="n">
        <f aca="false">IFERROR(S20/S13,0)</f>
        <v>0.91285622593068</v>
      </c>
      <c r="T21" s="33" t="n">
        <f aca="false">IFERROR(T20/T13,0)</f>
        <v>0.913768508486818</v>
      </c>
      <c r="U21" s="33" t="n">
        <f aca="false">IFERROR(U20/U13,0)</f>
        <v>0.914539914686167</v>
      </c>
      <c r="V21" s="33" t="n">
        <f aca="false">IFERROR(V20/V13,0)</f>
        <v>0.915177469135802</v>
      </c>
      <c r="W21" s="33" t="n">
        <f aca="false">IFERROR(W20/W13,0)</f>
        <v>0.915715839860748</v>
      </c>
      <c r="X21" s="33" t="n">
        <f aca="false">IFERROR(X20/X13,0)</f>
        <v>0.916176145775815</v>
      </c>
      <c r="Y21" s="33" t="n">
        <f aca="false">IFERROR(Y20/Y13,0)</f>
        <v>0.916570183629007</v>
      </c>
      <c r="Z21" s="33" t="n">
        <f aca="false">IFERROR(Z20/Z13,0)</f>
        <v>0.916893670219766</v>
      </c>
      <c r="AA21" s="33" t="n">
        <f aca="false">IFERROR(AA20/AA13,0)</f>
        <v>0.917180300500835</v>
      </c>
      <c r="AB21" s="33" t="n">
        <f aca="false">IFERROR(AB20/AB13,0)</f>
        <v>0.917408924032759</v>
      </c>
      <c r="AC21" s="33" t="n">
        <f aca="false">IFERROR(AC20/AC13,0)</f>
        <v>0.917611708482676</v>
      </c>
      <c r="AD21" s="33" t="n">
        <f aca="false">IFERROR(AD20/AD13,0)</f>
        <v>0.917776541961577</v>
      </c>
      <c r="AE21" s="33" t="n">
        <f aca="false">IFERROR(AE20/AE13,0)</f>
        <v>0.917920303497062</v>
      </c>
      <c r="AF21" s="33" t="n">
        <f aca="false">IFERROR(AF20/AF13,0)</f>
        <v>0.91804167270269</v>
      </c>
      <c r="AG21" s="33" t="n">
        <f aca="false">IFERROR(AG20/AG13,0)</f>
        <v>0.91814401373896</v>
      </c>
      <c r="AH21" s="33" t="n">
        <f aca="false">IFERROR(AH20/AH13,0)</f>
        <v>0.918230486875822</v>
      </c>
      <c r="AI21" s="33" t="n">
        <f aca="false">IFERROR(AI20/AI13,0)</f>
        <v>0.918301662707839</v>
      </c>
      <c r="AJ21" s="33" t="n">
        <f aca="false">IFERROR(AJ20/AJ13,0)</f>
        <v>0.918362640637807</v>
      </c>
      <c r="AK21" s="33" t="n">
        <f aca="false">IFERROR(AK20/AK13,0)</f>
        <v>0.918414762445819</v>
      </c>
    </row>
    <row r="22" customFormat="false" ht="16.5" hidden="false" customHeight="true" outlineLevel="0" collapsed="false">
      <c r="A22" s="13" t="s">
        <v>143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customFormat="false" ht="15.75" hidden="false" customHeight="true" outlineLevel="0" collapsed="false">
      <c r="A23" s="26" t="s">
        <v>144</v>
      </c>
      <c r="B23" s="30" t="n">
        <f aca="false">IF(1&gt;=Assumptions!B36,Assumptions!B37,0)</f>
        <v>0</v>
      </c>
      <c r="C23" s="30" t="n">
        <f aca="false">IF(2&gt;=Assumptions!B36,Assumptions!B37,0)</f>
        <v>0</v>
      </c>
      <c r="D23" s="30" t="n">
        <f aca="false">IF(3&gt;=Assumptions!B36,Assumptions!B37,0)</f>
        <v>0</v>
      </c>
      <c r="E23" s="30" t="n">
        <f aca="false">IF(4&gt;=Assumptions!B36,Assumptions!B37,0)</f>
        <v>0</v>
      </c>
      <c r="F23" s="30" t="n">
        <f aca="false">IF(5&gt;=Assumptions!B36,Assumptions!B37,0)</f>
        <v>0</v>
      </c>
      <c r="G23" s="30" t="n">
        <f aca="false">IF(6&gt;=Assumptions!B36,Assumptions!B37,0)</f>
        <v>0</v>
      </c>
      <c r="H23" s="30" t="n">
        <f aca="false">IF(7&gt;=Assumptions!B36,Assumptions!B37,0)</f>
        <v>0</v>
      </c>
      <c r="I23" s="30" t="n">
        <f aca="false">IF(8&gt;=Assumptions!B36,Assumptions!B37,0)</f>
        <v>0</v>
      </c>
      <c r="J23" s="30" t="n">
        <f aca="false">IF(9&gt;=Assumptions!B36,Assumptions!B37,0)</f>
        <v>0</v>
      </c>
      <c r="K23" s="30" t="n">
        <f aca="false">IF(10&gt;=Assumptions!B36,Assumptions!B37,0)</f>
        <v>0</v>
      </c>
      <c r="L23" s="30" t="n">
        <f aca="false">IF(11&gt;=Assumptions!B36,Assumptions!B37,0)</f>
        <v>0</v>
      </c>
      <c r="M23" s="30" t="n">
        <f aca="false">IF(12&gt;=Assumptions!B36,Assumptions!B37,0)</f>
        <v>0</v>
      </c>
      <c r="N23" s="30" t="n">
        <f aca="false">IF(13&gt;=Assumptions!B36,Assumptions!B37,0)</f>
        <v>0</v>
      </c>
      <c r="O23" s="30" t="n">
        <f aca="false">IF(14&gt;=Assumptions!B36,Assumptions!B37,0)</f>
        <v>0</v>
      </c>
      <c r="P23" s="30" t="n">
        <f aca="false">IF(15&gt;=Assumptions!B36,Assumptions!B37,0)</f>
        <v>0</v>
      </c>
      <c r="Q23" s="30" t="n">
        <f aca="false">IF(16&gt;=Assumptions!B36,Assumptions!B37,0)</f>
        <v>0</v>
      </c>
      <c r="R23" s="30" t="n">
        <f aca="false">IF(17&gt;=Assumptions!B36,Assumptions!B37,0)</f>
        <v>0</v>
      </c>
      <c r="S23" s="30" t="n">
        <f aca="false">IF(18&gt;=Assumptions!B36,Assumptions!B37,0)</f>
        <v>0</v>
      </c>
      <c r="T23" s="30" t="n">
        <f aca="false">IF(19&gt;=Assumptions!B36,Assumptions!B37,0)</f>
        <v>0</v>
      </c>
      <c r="U23" s="30" t="n">
        <f aca="false">IF(20&gt;=Assumptions!B36,Assumptions!B37,0)</f>
        <v>0</v>
      </c>
      <c r="V23" s="30" t="n">
        <f aca="false">IF(21&gt;=Assumptions!B36,Assumptions!B37,0)</f>
        <v>0</v>
      </c>
      <c r="W23" s="30" t="n">
        <f aca="false">IF(22&gt;=Assumptions!B36,Assumptions!B37,0)</f>
        <v>0</v>
      </c>
      <c r="X23" s="30" t="n">
        <f aca="false">IF(23&gt;=Assumptions!B36,Assumptions!B37,0)</f>
        <v>0</v>
      </c>
      <c r="Y23" s="30" t="n">
        <f aca="false">IF(24&gt;=Assumptions!B36,Assumptions!B37,0)</f>
        <v>0</v>
      </c>
      <c r="Z23" s="30" t="n">
        <f aca="false">IF(25&gt;=Assumptions!B36,Assumptions!B37,0)</f>
        <v>5000</v>
      </c>
      <c r="AA23" s="30" t="n">
        <f aca="false">IF(26&gt;=Assumptions!B36,Assumptions!B37,0)</f>
        <v>5000</v>
      </c>
      <c r="AB23" s="30" t="n">
        <f aca="false">IF(27&gt;=Assumptions!B36,Assumptions!B37,0)</f>
        <v>5000</v>
      </c>
      <c r="AC23" s="30" t="n">
        <f aca="false">IF(28&gt;=Assumptions!B36,Assumptions!B37,0)</f>
        <v>5000</v>
      </c>
      <c r="AD23" s="30" t="n">
        <f aca="false">IF(29&gt;=Assumptions!B36,Assumptions!B37,0)</f>
        <v>5000</v>
      </c>
      <c r="AE23" s="30" t="n">
        <f aca="false">IF(30&gt;=Assumptions!B36,Assumptions!B37,0)</f>
        <v>5000</v>
      </c>
      <c r="AF23" s="30" t="n">
        <f aca="false">IF(31&gt;=Assumptions!B36,Assumptions!B37,0)</f>
        <v>5000</v>
      </c>
      <c r="AG23" s="30" t="n">
        <f aca="false">IF(32&gt;=Assumptions!B36,Assumptions!B37,0)</f>
        <v>5000</v>
      </c>
      <c r="AH23" s="30" t="n">
        <f aca="false">IF(33&gt;=Assumptions!B36,Assumptions!B37,0)</f>
        <v>5000</v>
      </c>
      <c r="AI23" s="30" t="n">
        <f aca="false">IF(34&gt;=Assumptions!B36,Assumptions!B37,0)</f>
        <v>5000</v>
      </c>
      <c r="AJ23" s="30" t="n">
        <f aca="false">IF(35&gt;=Assumptions!B36,Assumptions!B37,0)</f>
        <v>5000</v>
      </c>
      <c r="AK23" s="30" t="n">
        <f aca="false">IF(36&gt;=Assumptions!B36,Assumptions!B37,0)</f>
        <v>5000</v>
      </c>
    </row>
    <row r="24" customFormat="false" ht="15.75" hidden="false" customHeight="true" outlineLevel="0" collapsed="false">
      <c r="A24" s="26" t="s">
        <v>145</v>
      </c>
      <c r="B24" s="30" t="n">
        <f aca="false">IF(B7&gt;=Assumptions!B40,Assumptions!B41,0)</f>
        <v>0</v>
      </c>
      <c r="C24" s="30" t="n">
        <f aca="false">IF(C7&gt;=Assumptions!B40,Assumptions!B41,0)</f>
        <v>0</v>
      </c>
      <c r="D24" s="30" t="n">
        <f aca="false">IF(D7&gt;=Assumptions!B40,Assumptions!B41,0)</f>
        <v>0</v>
      </c>
      <c r="E24" s="30" t="n">
        <f aca="false">IF(E7&gt;=Assumptions!B40,Assumptions!B41,0)</f>
        <v>0</v>
      </c>
      <c r="F24" s="30" t="n">
        <f aca="false">IF(F7&gt;=Assumptions!B40,Assumptions!B41,0)</f>
        <v>0</v>
      </c>
      <c r="G24" s="30" t="n">
        <f aca="false">IF(G7&gt;=Assumptions!B40,Assumptions!B41,0)</f>
        <v>0</v>
      </c>
      <c r="H24" s="30" t="n">
        <f aca="false">IF(H7&gt;=Assumptions!B40,Assumptions!B41,0)</f>
        <v>0</v>
      </c>
      <c r="I24" s="30" t="n">
        <f aca="false">IF(I7&gt;=Assumptions!B40,Assumptions!B41,0)</f>
        <v>0</v>
      </c>
      <c r="J24" s="30" t="n">
        <f aca="false">IF(J7&gt;=Assumptions!B40,Assumptions!B41,0)</f>
        <v>0</v>
      </c>
      <c r="K24" s="30" t="n">
        <f aca="false">IF(K7&gt;=Assumptions!B40,Assumptions!B41,0)</f>
        <v>4500</v>
      </c>
      <c r="L24" s="30" t="n">
        <f aca="false">IF(L7&gt;=Assumptions!B40,Assumptions!B41,0)</f>
        <v>4500</v>
      </c>
      <c r="M24" s="30" t="n">
        <f aca="false">IF(M7&gt;=Assumptions!B40,Assumptions!B41,0)</f>
        <v>4500</v>
      </c>
      <c r="N24" s="30" t="n">
        <f aca="false">IF(N7&gt;=Assumptions!B40,Assumptions!B41,0)</f>
        <v>4500</v>
      </c>
      <c r="O24" s="30" t="n">
        <f aca="false">IF(O7&gt;=Assumptions!B40,Assumptions!B41,0)</f>
        <v>4500</v>
      </c>
      <c r="P24" s="30" t="n">
        <f aca="false">IF(P7&gt;=Assumptions!B40,Assumptions!B41,0)</f>
        <v>4500</v>
      </c>
      <c r="Q24" s="30" t="n">
        <f aca="false">IF(Q7&gt;=Assumptions!B40,Assumptions!B41,0)</f>
        <v>4500</v>
      </c>
      <c r="R24" s="30" t="n">
        <f aca="false">IF(R7&gt;=Assumptions!B40,Assumptions!B41,0)</f>
        <v>4500</v>
      </c>
      <c r="S24" s="30" t="n">
        <f aca="false">IF(S7&gt;=Assumptions!B40,Assumptions!B41,0)</f>
        <v>4500</v>
      </c>
      <c r="T24" s="30" t="n">
        <f aca="false">IF(T7&gt;=Assumptions!B40,Assumptions!B41,0)</f>
        <v>4500</v>
      </c>
      <c r="U24" s="30" t="n">
        <f aca="false">IF(U7&gt;=Assumptions!B40,Assumptions!B41,0)</f>
        <v>4500</v>
      </c>
      <c r="V24" s="30" t="n">
        <f aca="false">IF(V7&gt;=Assumptions!B40,Assumptions!B41,0)</f>
        <v>4500</v>
      </c>
      <c r="W24" s="30" t="n">
        <f aca="false">IF(W7&gt;=Assumptions!B40,Assumptions!B41,0)</f>
        <v>4500</v>
      </c>
      <c r="X24" s="30" t="n">
        <f aca="false">IF(X7&gt;=Assumptions!B40,Assumptions!B41,0)</f>
        <v>4500</v>
      </c>
      <c r="Y24" s="30" t="n">
        <f aca="false">IF(Y7&gt;=Assumptions!B40,Assumptions!B41,0)</f>
        <v>4500</v>
      </c>
      <c r="Z24" s="30" t="n">
        <f aca="false">IF(Z7&gt;=Assumptions!B40,Assumptions!B41,0)</f>
        <v>4500</v>
      </c>
      <c r="AA24" s="30" t="n">
        <f aca="false">IF(AA7&gt;=Assumptions!B40,Assumptions!B41,0)</f>
        <v>4500</v>
      </c>
      <c r="AB24" s="30" t="n">
        <f aca="false">IF(AB7&gt;=Assumptions!B40,Assumptions!B41,0)</f>
        <v>4500</v>
      </c>
      <c r="AC24" s="30" t="n">
        <f aca="false">IF(AC7&gt;=Assumptions!B40,Assumptions!B41,0)</f>
        <v>4500</v>
      </c>
      <c r="AD24" s="30" t="n">
        <f aca="false">IF(AD7&gt;=Assumptions!B40,Assumptions!B41,0)</f>
        <v>4500</v>
      </c>
      <c r="AE24" s="30" t="n">
        <f aca="false">IF(AE7&gt;=Assumptions!B40,Assumptions!B41,0)</f>
        <v>4500</v>
      </c>
      <c r="AF24" s="30" t="n">
        <f aca="false">IF(AF7&gt;=Assumptions!B40,Assumptions!B41,0)</f>
        <v>4500</v>
      </c>
      <c r="AG24" s="30" t="n">
        <f aca="false">IF(AG7&gt;=Assumptions!B40,Assumptions!B41,0)</f>
        <v>4500</v>
      </c>
      <c r="AH24" s="30" t="n">
        <f aca="false">IF(AH7&gt;=Assumptions!B40,Assumptions!B41,0)</f>
        <v>4500</v>
      </c>
      <c r="AI24" s="30" t="n">
        <f aca="false">IF(AI7&gt;=Assumptions!B40,Assumptions!B41,0)</f>
        <v>4500</v>
      </c>
      <c r="AJ24" s="30" t="n">
        <f aca="false">IF(AJ7&gt;=Assumptions!B40,Assumptions!B41,0)</f>
        <v>4500</v>
      </c>
      <c r="AK24" s="30" t="n">
        <f aca="false">IF(AK7&gt;=Assumptions!B40,Assumptions!B41,0)</f>
        <v>4500</v>
      </c>
    </row>
    <row r="25" customFormat="false" ht="15.75" hidden="false" customHeight="true" outlineLevel="0" collapsed="false">
      <c r="A25" s="32" t="s">
        <v>146</v>
      </c>
      <c r="B25" s="30" t="n">
        <f aca="false">B23+B24</f>
        <v>0</v>
      </c>
      <c r="C25" s="30" t="n">
        <f aca="false">C23+C24</f>
        <v>0</v>
      </c>
      <c r="D25" s="30" t="n">
        <f aca="false">D23+D24</f>
        <v>0</v>
      </c>
      <c r="E25" s="30" t="n">
        <f aca="false">E23+E24</f>
        <v>0</v>
      </c>
      <c r="F25" s="30" t="n">
        <f aca="false">F23+F24</f>
        <v>0</v>
      </c>
      <c r="G25" s="30" t="n">
        <f aca="false">G23+G24</f>
        <v>0</v>
      </c>
      <c r="H25" s="30" t="n">
        <f aca="false">H23+H24</f>
        <v>0</v>
      </c>
      <c r="I25" s="30" t="n">
        <f aca="false">I23+I24</f>
        <v>0</v>
      </c>
      <c r="J25" s="30" t="n">
        <f aca="false">J23+J24</f>
        <v>0</v>
      </c>
      <c r="K25" s="30" t="n">
        <f aca="false">K23+K24</f>
        <v>4500</v>
      </c>
      <c r="L25" s="30" t="n">
        <f aca="false">L23+L24</f>
        <v>4500</v>
      </c>
      <c r="M25" s="30" t="n">
        <f aca="false">M23+M24</f>
        <v>4500</v>
      </c>
      <c r="N25" s="30" t="n">
        <f aca="false">N23+N24</f>
        <v>4500</v>
      </c>
      <c r="O25" s="30" t="n">
        <f aca="false">O23+O24</f>
        <v>4500</v>
      </c>
      <c r="P25" s="30" t="n">
        <f aca="false">P23+P24</f>
        <v>4500</v>
      </c>
      <c r="Q25" s="30" t="n">
        <f aca="false">Q23+Q24</f>
        <v>4500</v>
      </c>
      <c r="R25" s="30" t="n">
        <f aca="false">R23+R24</f>
        <v>4500</v>
      </c>
      <c r="S25" s="30" t="n">
        <f aca="false">S23+S24</f>
        <v>4500</v>
      </c>
      <c r="T25" s="30" t="n">
        <f aca="false">T23+T24</f>
        <v>4500</v>
      </c>
      <c r="U25" s="30" t="n">
        <f aca="false">U23+U24</f>
        <v>4500</v>
      </c>
      <c r="V25" s="30" t="n">
        <f aca="false">V23+V24</f>
        <v>4500</v>
      </c>
      <c r="W25" s="30" t="n">
        <f aca="false">W23+W24</f>
        <v>4500</v>
      </c>
      <c r="X25" s="30" t="n">
        <f aca="false">X23+X24</f>
        <v>4500</v>
      </c>
      <c r="Y25" s="30" t="n">
        <f aca="false">Y23+Y24</f>
        <v>4500</v>
      </c>
      <c r="Z25" s="30" t="n">
        <f aca="false">Z23+Z24</f>
        <v>9500</v>
      </c>
      <c r="AA25" s="30" t="n">
        <f aca="false">AA23+AA24</f>
        <v>9500</v>
      </c>
      <c r="AB25" s="30" t="n">
        <f aca="false">AB23+AB24</f>
        <v>9500</v>
      </c>
      <c r="AC25" s="30" t="n">
        <f aca="false">AC23+AC24</f>
        <v>9500</v>
      </c>
      <c r="AD25" s="30" t="n">
        <f aca="false">AD23+AD24</f>
        <v>9500</v>
      </c>
      <c r="AE25" s="30" t="n">
        <f aca="false">AE23+AE24</f>
        <v>9500</v>
      </c>
      <c r="AF25" s="30" t="n">
        <f aca="false">AF23+AF24</f>
        <v>9500</v>
      </c>
      <c r="AG25" s="30" t="n">
        <f aca="false">AG23+AG24</f>
        <v>9500</v>
      </c>
      <c r="AH25" s="30" t="n">
        <f aca="false">AH23+AH24</f>
        <v>9500</v>
      </c>
      <c r="AI25" s="30" t="n">
        <f aca="false">AI23+AI24</f>
        <v>9500</v>
      </c>
      <c r="AJ25" s="30" t="n">
        <f aca="false">AJ23+AJ24</f>
        <v>9500</v>
      </c>
      <c r="AK25" s="30" t="n">
        <f aca="false">AK23+AK24</f>
        <v>9500</v>
      </c>
    </row>
    <row r="26" customFormat="false" ht="16.5" hidden="false" customHeight="true" outlineLevel="0" collapsed="false">
      <c r="A26" s="13" t="s">
        <v>147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customFormat="false" ht="15.75" hidden="false" customHeight="true" outlineLevel="0" collapsed="false">
      <c r="A27" s="28" t="s">
        <v>148</v>
      </c>
      <c r="B27" s="31" t="n">
        <f aca="false">B20-B25</f>
        <v>44.38</v>
      </c>
      <c r="C27" s="31" t="n">
        <f aca="false">C20-C25</f>
        <v>165.56</v>
      </c>
      <c r="D27" s="31" t="n">
        <f aca="false">D20-D25</f>
        <v>298.12</v>
      </c>
      <c r="E27" s="31" t="n">
        <f aca="false">E20-E25</f>
        <v>441.26</v>
      </c>
      <c r="F27" s="31" t="n">
        <f aca="false">F20-F25</f>
        <v>595.78</v>
      </c>
      <c r="G27" s="31" t="n">
        <f aca="false">G20-G25</f>
        <v>794.22</v>
      </c>
      <c r="H27" s="31" t="n">
        <f aca="false">H20-H25</f>
        <v>1036.58</v>
      </c>
      <c r="I27" s="31" t="n">
        <f aca="false">I20-I25</f>
        <v>1290.32</v>
      </c>
      <c r="J27" s="31" t="n">
        <f aca="false">J20-J25</f>
        <v>1609.94</v>
      </c>
      <c r="K27" s="31" t="n">
        <f aca="false">K20-K25</f>
        <v>-2526.52</v>
      </c>
      <c r="L27" s="31" t="n">
        <f aca="false">L20-L25</f>
        <v>-2096.3</v>
      </c>
      <c r="M27" s="31" t="n">
        <f aca="false">M20-M25</f>
        <v>-1578.24</v>
      </c>
      <c r="N27" s="31" t="n">
        <f aca="false">N20-N25</f>
        <v>-982.92</v>
      </c>
      <c r="O27" s="31" t="n">
        <f aca="false">O20-O25</f>
        <v>-266.42</v>
      </c>
      <c r="P27" s="31" t="n">
        <f aca="false">P20-P25</f>
        <v>560.68</v>
      </c>
      <c r="Q27" s="31" t="n">
        <f aca="false">Q20-Q25</f>
        <v>1541.5</v>
      </c>
      <c r="R27" s="31" t="n">
        <f aca="false">R20-R25</f>
        <v>2688.22</v>
      </c>
      <c r="S27" s="31" t="n">
        <f aca="false">S20-S25</f>
        <v>4033.38</v>
      </c>
      <c r="T27" s="31" t="n">
        <f aca="false">T20-T25</f>
        <v>5620.9</v>
      </c>
      <c r="U27" s="31" t="n">
        <f aca="false">U20-U25</f>
        <v>7506.08</v>
      </c>
      <c r="V27" s="31" t="n">
        <f aca="false">V20-V25</f>
        <v>9732.84</v>
      </c>
      <c r="W27" s="31" t="n">
        <f aca="false">W20-W25</f>
        <v>12334.52</v>
      </c>
      <c r="X27" s="31" t="n">
        <f aca="false">X20-X25</f>
        <v>15410.34</v>
      </c>
      <c r="Y27" s="31" t="n">
        <f aca="false">Y20-Y25</f>
        <v>19059.52</v>
      </c>
      <c r="Z27" s="31" t="n">
        <f aca="false">Z20-Z25</f>
        <v>18369.9</v>
      </c>
      <c r="AA27" s="31" t="n">
        <f aca="false">AA20-AA25</f>
        <v>23463.46</v>
      </c>
      <c r="AB27" s="31" t="n">
        <f aca="false">AB20-AB25</f>
        <v>29482.54</v>
      </c>
      <c r="AC27" s="31" t="n">
        <f aca="false">AC20-AC25</f>
        <v>36582.46</v>
      </c>
      <c r="AD27" s="31" t="n">
        <f aca="false">AD20-AD25</f>
        <v>44960.86</v>
      </c>
      <c r="AE27" s="31" t="n">
        <f aca="false">AE20-AE25</f>
        <v>54860.9</v>
      </c>
      <c r="AF27" s="31" t="n">
        <f aca="false">AF20-AF25</f>
        <v>66546.9</v>
      </c>
      <c r="AG27" s="31" t="n">
        <f aca="false">AG20-AG25</f>
        <v>80316.52</v>
      </c>
      <c r="AH27" s="31" t="n">
        <f aca="false">AH20-AH25</f>
        <v>96566.64</v>
      </c>
      <c r="AI27" s="31" t="n">
        <f aca="false">AI20-AI25</f>
        <v>115760.02</v>
      </c>
      <c r="AJ27" s="31" t="n">
        <f aca="false">AJ20-AJ25</f>
        <v>138404.14</v>
      </c>
      <c r="AK27" s="31" t="n">
        <f aca="false">AK20-AK25</f>
        <v>165094.32</v>
      </c>
    </row>
    <row r="28" customFormat="false" ht="15.75" hidden="false" customHeight="true" outlineLevel="0" collapsed="false">
      <c r="A28" s="26" t="s">
        <v>149</v>
      </c>
      <c r="B28" s="34" t="n">
        <f aca="false">B27</f>
        <v>44.38</v>
      </c>
      <c r="C28" s="34" t="n">
        <f aca="false">B28+C27</f>
        <v>209.94</v>
      </c>
      <c r="D28" s="34" t="n">
        <f aca="false">C28+D27</f>
        <v>508.06</v>
      </c>
      <c r="E28" s="34" t="n">
        <f aca="false">D28+E27</f>
        <v>949.32</v>
      </c>
      <c r="F28" s="34" t="n">
        <f aca="false">E28+F27</f>
        <v>1545.1</v>
      </c>
      <c r="G28" s="34" t="n">
        <f aca="false">F28+G27</f>
        <v>2339.32</v>
      </c>
      <c r="H28" s="34" t="n">
        <f aca="false">G28+H27</f>
        <v>3375.9</v>
      </c>
      <c r="I28" s="34" t="n">
        <f aca="false">H28+I27</f>
        <v>4666.22</v>
      </c>
      <c r="J28" s="34" t="n">
        <f aca="false">I28+J27</f>
        <v>6276.16</v>
      </c>
      <c r="K28" s="34" t="n">
        <f aca="false">J28+K27</f>
        <v>3749.64</v>
      </c>
      <c r="L28" s="34" t="n">
        <f aca="false">K28+L27</f>
        <v>1653.34</v>
      </c>
      <c r="M28" s="34" t="n">
        <f aca="false">L28+M27</f>
        <v>75.0999999999999</v>
      </c>
      <c r="N28" s="34" t="n">
        <f aca="false">M28+N27</f>
        <v>-907.82</v>
      </c>
      <c r="O28" s="34" t="n">
        <f aca="false">N28+O27</f>
        <v>-1174.24</v>
      </c>
      <c r="P28" s="34" t="n">
        <f aca="false">O28+P27</f>
        <v>-613.56</v>
      </c>
      <c r="Q28" s="34" t="n">
        <f aca="false">P28+Q27</f>
        <v>927.94</v>
      </c>
      <c r="R28" s="34" t="n">
        <f aca="false">Q28+R27</f>
        <v>3616.16</v>
      </c>
      <c r="S28" s="34" t="n">
        <f aca="false">R28+S27</f>
        <v>7649.54</v>
      </c>
      <c r="T28" s="34" t="n">
        <f aca="false">S28+T27</f>
        <v>13270.44</v>
      </c>
      <c r="U28" s="34" t="n">
        <f aca="false">T28+U27</f>
        <v>20776.52</v>
      </c>
      <c r="V28" s="34" t="n">
        <f aca="false">U28+V27</f>
        <v>30509.36</v>
      </c>
      <c r="W28" s="34" t="n">
        <f aca="false">V28+W27</f>
        <v>42843.88</v>
      </c>
      <c r="X28" s="34" t="n">
        <f aca="false">W28+X27</f>
        <v>58254.22</v>
      </c>
      <c r="Y28" s="34" t="n">
        <f aca="false">X28+Y27</f>
        <v>77313.74</v>
      </c>
      <c r="Z28" s="34" t="n">
        <f aca="false">Y28+Z27</f>
        <v>95683.64</v>
      </c>
      <c r="AA28" s="34" t="n">
        <f aca="false">Z28+AA27</f>
        <v>119147.1</v>
      </c>
      <c r="AB28" s="34" t="n">
        <f aca="false">AA28+AB27</f>
        <v>148629.64</v>
      </c>
      <c r="AC28" s="34" t="n">
        <f aca="false">AB28+AC27</f>
        <v>185212.1</v>
      </c>
      <c r="AD28" s="34" t="n">
        <f aca="false">AC28+AD27</f>
        <v>230172.96</v>
      </c>
      <c r="AE28" s="34" t="n">
        <f aca="false">AD28+AE27</f>
        <v>285033.86</v>
      </c>
      <c r="AF28" s="34" t="n">
        <f aca="false">AE28+AF27</f>
        <v>351580.76</v>
      </c>
      <c r="AG28" s="34" t="n">
        <f aca="false">AF28+AG27</f>
        <v>431897.28</v>
      </c>
      <c r="AH28" s="34" t="n">
        <f aca="false">AG28+AH27</f>
        <v>528463.92</v>
      </c>
      <c r="AI28" s="34" t="n">
        <f aca="false">AH28+AI27</f>
        <v>644223.94</v>
      </c>
      <c r="AJ28" s="34" t="n">
        <f aca="false">AI28+AJ27</f>
        <v>782628.08</v>
      </c>
      <c r="AK28" s="34" t="n">
        <f aca="false">AJ28+AK27</f>
        <v>947722.4</v>
      </c>
    </row>
    <row r="29" customFormat="false" ht="16.5" hidden="false" customHeight="true" outlineLevel="0" collapsed="false">
      <c r="A29" s="13" t="s">
        <v>150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customFormat="false" ht="15.75" hidden="false" customHeight="true" outlineLevel="0" collapsed="false">
      <c r="A30" s="26" t="s">
        <v>151</v>
      </c>
      <c r="B30" s="35" t="n">
        <f aca="false">IFERROR(B14/Assumptions!B44,0)</f>
        <v>0.000617142857142857</v>
      </c>
      <c r="C30" s="35" t="n">
        <f aca="false">IFERROR(C14/Assumptions!B44,0)</f>
        <v>0.00137142857142857</v>
      </c>
      <c r="D30" s="35" t="n">
        <f aca="false">IFERROR(D14/Assumptions!B44,0)</f>
        <v>0.00219428571428571</v>
      </c>
      <c r="E30" s="35" t="n">
        <f aca="false">IFERROR(E14/Assumptions!B44,0)</f>
        <v>0.00308571428571429</v>
      </c>
      <c r="F30" s="35" t="n">
        <f aca="false">IFERROR(F14/Assumptions!B44,0)</f>
        <v>0.00404571428571429</v>
      </c>
      <c r="G30" s="35" t="n">
        <f aca="false">IFERROR(G14/Assumptions!B44,0)</f>
        <v>0.00528</v>
      </c>
      <c r="H30" s="35" t="n">
        <f aca="false">IFERROR(H14/Assumptions!B44,0)</f>
        <v>0.00678857142857143</v>
      </c>
      <c r="I30" s="35" t="n">
        <f aca="false">IFERROR(I14/Assumptions!B44,0)</f>
        <v>0.00836571428571429</v>
      </c>
      <c r="J30" s="35" t="n">
        <f aca="false">IFERROR(J14/Assumptions!B44,0)</f>
        <v>0.0103542857142857</v>
      </c>
      <c r="K30" s="35" t="n">
        <f aca="false">IFERROR(K14/Assumptions!B44,0)</f>
        <v>0.0126171428571429</v>
      </c>
      <c r="L30" s="35" t="n">
        <f aca="false">IFERROR(L14/Assumptions!B44,0)</f>
        <v>0.0152914285714286</v>
      </c>
      <c r="M30" s="35" t="n">
        <f aca="false">IFERROR(M14/Assumptions!B44,0)</f>
        <v>0.0185142857142857</v>
      </c>
      <c r="N30" s="35" t="n">
        <f aca="false">IFERROR(N14/Assumptions!B44,0)</f>
        <v>0.0222171428571429</v>
      </c>
      <c r="O30" s="35" t="n">
        <f aca="false">IFERROR(O14/Assumptions!B44,0)</f>
        <v>0.0266742857142857</v>
      </c>
      <c r="P30" s="35" t="n">
        <f aca="false">IFERROR(P14/Assumptions!B44,0)</f>
        <v>0.0318171428571429</v>
      </c>
      <c r="Q30" s="35" t="n">
        <f aca="false">IFERROR(Q14/Assumptions!B44,0)</f>
        <v>0.03792</v>
      </c>
      <c r="R30" s="35" t="n">
        <f aca="false">IFERROR(R14/Assumptions!B44,0)</f>
        <v>0.0450514285714286</v>
      </c>
      <c r="S30" s="35" t="n">
        <f aca="false">IFERROR(S14/Assumptions!B44,0)</f>
        <v>0.0534171428571429</v>
      </c>
      <c r="T30" s="35" t="n">
        <f aca="false">IFERROR(T14/Assumptions!B44,0)</f>
        <v>0.0632914285714286</v>
      </c>
      <c r="U30" s="35" t="n">
        <f aca="false">IFERROR(U14/Assumptions!B44,0)</f>
        <v>0.0750171428571429</v>
      </c>
      <c r="V30" s="35" t="n">
        <f aca="false">IFERROR(V14/Assumptions!B44,0)</f>
        <v>0.0888685714285714</v>
      </c>
      <c r="W30" s="35" t="n">
        <f aca="false">IFERROR(W14/Assumptions!B44,0)</f>
        <v>0.105051428571429</v>
      </c>
      <c r="X30" s="35" t="n">
        <f aca="false">IFERROR(X14/Assumptions!B44,0)</f>
        <v>0.124182857142857</v>
      </c>
      <c r="Y30" s="35" t="n">
        <f aca="false">IFERROR(Y14/Assumptions!B44,0)</f>
        <v>0.14688</v>
      </c>
      <c r="Z30" s="35" t="n">
        <f aca="false">IFERROR(Z14/Assumptions!B44,0)</f>
        <v>0.173691428571429</v>
      </c>
      <c r="AA30" s="35" t="n">
        <f aca="false">IFERROR(AA14/Assumptions!B44,0)</f>
        <v>0.205371428571429</v>
      </c>
      <c r="AB30" s="35" t="n">
        <f aca="false">IFERROR(AB14/Assumptions!B44,0)</f>
        <v>0.242811428571429</v>
      </c>
      <c r="AC30" s="35" t="n">
        <f aca="false">IFERROR(AC14/Assumptions!B44,0)</f>
        <v>0.286971428571429</v>
      </c>
      <c r="AD30" s="35" t="n">
        <f aca="false">IFERROR(AD14/Assumptions!B44,0)</f>
        <v>0.339085714285714</v>
      </c>
      <c r="AE30" s="35" t="n">
        <f aca="false">IFERROR(AE14/Assumptions!B44,0)</f>
        <v>0.400662857142857</v>
      </c>
      <c r="AF30" s="35" t="n">
        <f aca="false">IFERROR(AF14/Assumptions!B44,0)</f>
        <v>0.473348571428571</v>
      </c>
      <c r="AG30" s="35" t="n">
        <f aca="false">IFERROR(AG14/Assumptions!B44,0)</f>
        <v>0.558994285714286</v>
      </c>
      <c r="AH30" s="35" t="n">
        <f aca="false">IFERROR(AH14/Assumptions!B44,0)</f>
        <v>0.660068571428571</v>
      </c>
      <c r="AI30" s="35" t="n">
        <f aca="false">IFERROR(AI14/Assumptions!B44,0)</f>
        <v>0.779451428571429</v>
      </c>
      <c r="AJ30" s="35" t="n">
        <f aca="false">IFERROR(AJ14/Assumptions!B44,0)</f>
        <v>0.920297142857143</v>
      </c>
      <c r="AK30" s="35" t="n">
        <f aca="false">IFERROR(AK14/Assumptions!B44,0)</f>
        <v>1.08630857142857</v>
      </c>
    </row>
    <row r="31" customFormat="false" ht="15.75" hidden="false" customHeight="true" outlineLevel="0" collapsed="false">
      <c r="A31" s="26" t="s">
        <v>152</v>
      </c>
      <c r="B31" s="1" t="str">
        <f aca="false">IF(B27&gt;0,"Yes","-")</f>
        <v>Yes</v>
      </c>
      <c r="C31" s="1" t="str">
        <f aca="false">IF(C27&gt;0,"Yes","-")</f>
        <v>Yes</v>
      </c>
      <c r="D31" s="1" t="str">
        <f aca="false">IF(D27&gt;0,"Yes","-")</f>
        <v>Yes</v>
      </c>
      <c r="E31" s="1" t="str">
        <f aca="false">IF(E27&gt;0,"Yes","-")</f>
        <v>Yes</v>
      </c>
      <c r="F31" s="1" t="str">
        <f aca="false">IF(F27&gt;0,"Yes","-")</f>
        <v>Yes</v>
      </c>
      <c r="G31" s="1" t="str">
        <f aca="false">IF(G27&gt;0,"Yes","-")</f>
        <v>Yes</v>
      </c>
      <c r="H31" s="1" t="str">
        <f aca="false">IF(H27&gt;0,"Yes","-")</f>
        <v>Yes</v>
      </c>
      <c r="I31" s="1" t="str">
        <f aca="false">IF(I27&gt;0,"Yes","-")</f>
        <v>Yes</v>
      </c>
      <c r="J31" s="1" t="str">
        <f aca="false">IF(J27&gt;0,"Yes","-")</f>
        <v>Yes</v>
      </c>
      <c r="K31" s="1" t="str">
        <f aca="false">IF(K27&gt;0,"Yes","-")</f>
        <v>-</v>
      </c>
      <c r="L31" s="1" t="str">
        <f aca="false">IF(L27&gt;0,"Yes","-")</f>
        <v>-</v>
      </c>
      <c r="M31" s="1" t="str">
        <f aca="false">IF(M27&gt;0,"Yes","-")</f>
        <v>-</v>
      </c>
      <c r="N31" s="1" t="str">
        <f aca="false">IF(N27&gt;0,"Yes","-")</f>
        <v>-</v>
      </c>
      <c r="O31" s="1" t="str">
        <f aca="false">IF(O27&gt;0,"Yes","-")</f>
        <v>-</v>
      </c>
      <c r="P31" s="1" t="str">
        <f aca="false">IF(P27&gt;0,"Yes","-")</f>
        <v>Yes</v>
      </c>
      <c r="Q31" s="1" t="str">
        <f aca="false">IF(Q27&gt;0,"Yes","-")</f>
        <v>Yes</v>
      </c>
      <c r="R31" s="1" t="str">
        <f aca="false">IF(R27&gt;0,"Yes","-")</f>
        <v>Yes</v>
      </c>
      <c r="S31" s="1" t="str">
        <f aca="false">IF(S27&gt;0,"Yes","-")</f>
        <v>Yes</v>
      </c>
      <c r="T31" s="1" t="str">
        <f aca="false">IF(T27&gt;0,"Yes","-")</f>
        <v>Yes</v>
      </c>
      <c r="U31" s="1" t="str">
        <f aca="false">IF(U27&gt;0,"Yes","-")</f>
        <v>Yes</v>
      </c>
      <c r="V31" s="1" t="str">
        <f aca="false">IF(V27&gt;0,"Yes","-")</f>
        <v>Yes</v>
      </c>
      <c r="W31" s="1" t="str">
        <f aca="false">IF(W27&gt;0,"Yes","-")</f>
        <v>Yes</v>
      </c>
      <c r="X31" s="1" t="str">
        <f aca="false">IF(X27&gt;0,"Yes","-")</f>
        <v>Yes</v>
      </c>
      <c r="Y31" s="1" t="str">
        <f aca="false">IF(Y27&gt;0,"Yes","-")</f>
        <v>Yes</v>
      </c>
      <c r="Z31" s="1" t="str">
        <f aca="false">IF(Z27&gt;0,"Yes","-")</f>
        <v>Yes</v>
      </c>
      <c r="AA31" s="1" t="str">
        <f aca="false">IF(AA27&gt;0,"Yes","-")</f>
        <v>Yes</v>
      </c>
      <c r="AB31" s="1" t="str">
        <f aca="false">IF(AB27&gt;0,"Yes","-")</f>
        <v>Yes</v>
      </c>
      <c r="AC31" s="1" t="str">
        <f aca="false">IF(AC27&gt;0,"Yes","-")</f>
        <v>Yes</v>
      </c>
      <c r="AD31" s="1" t="str">
        <f aca="false">IF(AD27&gt;0,"Yes","-")</f>
        <v>Yes</v>
      </c>
      <c r="AE31" s="1" t="str">
        <f aca="false">IF(AE27&gt;0,"Yes","-")</f>
        <v>Yes</v>
      </c>
      <c r="AF31" s="1" t="str">
        <f aca="false">IF(AF27&gt;0,"Yes","-")</f>
        <v>Yes</v>
      </c>
      <c r="AG31" s="1" t="str">
        <f aca="false">IF(AG27&gt;0,"Yes","-")</f>
        <v>Yes</v>
      </c>
      <c r="AH31" s="1" t="str">
        <f aca="false">IF(AH27&gt;0,"Yes","-")</f>
        <v>Yes</v>
      </c>
      <c r="AI31" s="1" t="str">
        <f aca="false">IF(AI27&gt;0,"Yes","-")</f>
        <v>Yes</v>
      </c>
      <c r="AJ31" s="1" t="str">
        <f aca="false">IF(AJ27&gt;0,"Yes","-")</f>
        <v>Yes</v>
      </c>
      <c r="AK31" s="1" t="str">
        <f aca="false">IF(AK27&gt;0,"Yes","-")</f>
        <v>Yes</v>
      </c>
    </row>
  </sheetData>
  <mergeCells count="7">
    <mergeCell ref="A1:AL1"/>
    <mergeCell ref="A4:AL4"/>
    <mergeCell ref="A10:AL10"/>
    <mergeCell ref="A15:AL15"/>
    <mergeCell ref="A22:AL22"/>
    <mergeCell ref="A26:AL26"/>
    <mergeCell ref="A29:A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6"/>
  </cols>
  <sheetData>
    <row r="1" customFormat="false" ht="25.5" hidden="false" customHeight="true" outlineLevel="0" collapsed="false">
      <c r="A1" s="12" t="s">
        <v>153</v>
      </c>
      <c r="B1" s="12"/>
      <c r="C1" s="12"/>
      <c r="D1" s="12"/>
      <c r="E1" s="12"/>
      <c r="F1" s="12"/>
      <c r="G1" s="12"/>
    </row>
    <row r="2" customFormat="false" ht="13.5" hidden="false" customHeight="true" outlineLevel="0" collapsed="false">
      <c r="A2" s="3" t="s">
        <v>154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36" t="s">
        <v>155</v>
      </c>
      <c r="B4" s="37" t="s">
        <v>156</v>
      </c>
      <c r="C4" s="37" t="s">
        <v>157</v>
      </c>
      <c r="D4" s="37" t="s">
        <v>158</v>
      </c>
      <c r="E4" s="37" t="s">
        <v>159</v>
      </c>
      <c r="F4" s="37" t="s">
        <v>160</v>
      </c>
    </row>
    <row r="5" customFormat="false" ht="15.75" hidden="false" customHeight="true" outlineLevel="0" collapsed="false">
      <c r="A5" s="10" t="s">
        <v>161</v>
      </c>
      <c r="B5" s="38" t="n">
        <v>3918</v>
      </c>
      <c r="C5" s="39" t="n">
        <v>6355</v>
      </c>
      <c r="D5" s="40" t="n">
        <v>9717</v>
      </c>
      <c r="E5" s="40" t="n">
        <v>15755</v>
      </c>
      <c r="F5" s="40" t="n">
        <v>61598</v>
      </c>
    </row>
    <row r="6" customFormat="false" ht="15.75" hidden="false" customHeight="true" outlineLevel="0" collapsed="false">
      <c r="A6" s="10" t="s">
        <v>162</v>
      </c>
      <c r="B6" s="38" t="n">
        <v>3679</v>
      </c>
      <c r="C6" s="39" t="n">
        <v>6008</v>
      </c>
      <c r="D6" s="40" t="n">
        <v>9236</v>
      </c>
      <c r="E6" s="40" t="n">
        <v>15042</v>
      </c>
      <c r="F6" s="40" t="n">
        <v>59321</v>
      </c>
    </row>
    <row r="7" customFormat="false" ht="15.75" hidden="false" customHeight="true" outlineLevel="0" collapsed="false">
      <c r="A7" s="10" t="s">
        <v>163</v>
      </c>
      <c r="B7" s="38" t="n">
        <v>3469</v>
      </c>
      <c r="C7" s="39" t="n">
        <v>5698</v>
      </c>
      <c r="D7" s="40" t="n">
        <v>8801</v>
      </c>
      <c r="E7" s="40" t="n">
        <v>14392</v>
      </c>
      <c r="F7" s="40" t="n">
        <v>57203</v>
      </c>
    </row>
    <row r="8" customFormat="false" ht="15.75" hidden="false" customHeight="true" outlineLevel="0" collapsed="false">
      <c r="A8" s="10" t="s">
        <v>164</v>
      </c>
      <c r="B8" s="38" t="n">
        <v>3278</v>
      </c>
      <c r="C8" s="39" t="n">
        <v>5414</v>
      </c>
      <c r="D8" s="40" t="n">
        <v>8403</v>
      </c>
      <c r="E8" s="40" t="n">
        <v>13792</v>
      </c>
      <c r="F8" s="40" t="n">
        <v>55235</v>
      </c>
    </row>
    <row r="9" customFormat="false" ht="15.75" hidden="false" customHeight="true" outlineLevel="0" collapsed="false">
      <c r="A9" s="10" t="s">
        <v>165</v>
      </c>
      <c r="B9" s="38" t="n">
        <v>3108</v>
      </c>
      <c r="C9" s="39" t="n">
        <v>5160</v>
      </c>
      <c r="D9" s="39" t="n">
        <v>8041</v>
      </c>
      <c r="E9" s="40" t="n">
        <v>13241</v>
      </c>
      <c r="F9" s="40" t="n">
        <v>53395</v>
      </c>
    </row>
    <row r="11" customFormat="false" ht="9.75" hidden="false" customHeight="true" outlineLevel="0" collapsed="false"/>
    <row r="12" customFormat="false" ht="21.75" hidden="false" customHeight="true" outlineLevel="0" collapsed="false">
      <c r="A12" s="41" t="s">
        <v>166</v>
      </c>
      <c r="B12" s="41"/>
      <c r="C12" s="41"/>
      <c r="D12" s="41"/>
      <c r="E12" s="41"/>
      <c r="F12" s="41"/>
      <c r="G12" s="41"/>
    </row>
    <row r="13" customFormat="false" ht="30" hidden="false" customHeight="true" outlineLevel="0" collapsed="false">
      <c r="A13" s="36" t="s">
        <v>167</v>
      </c>
      <c r="B13" s="37" t="s">
        <v>156</v>
      </c>
      <c r="C13" s="37" t="s">
        <v>157</v>
      </c>
      <c r="D13" s="37" t="s">
        <v>158</v>
      </c>
      <c r="E13" s="37" t="s">
        <v>159</v>
      </c>
      <c r="F13" s="37" t="s">
        <v>160</v>
      </c>
    </row>
    <row r="14" customFormat="false" ht="15.75" hidden="false" customHeight="true" outlineLevel="0" collapsed="false">
      <c r="A14" s="10" t="s">
        <v>161</v>
      </c>
      <c r="B14" s="42" t="n">
        <v>1015545.6</v>
      </c>
      <c r="C14" s="43" t="n">
        <v>1647216</v>
      </c>
      <c r="D14" s="44" t="n">
        <v>2518646.4</v>
      </c>
      <c r="E14" s="44" t="n">
        <v>4083696</v>
      </c>
      <c r="F14" s="44" t="n">
        <v>15966201.6</v>
      </c>
    </row>
    <row r="15" customFormat="false" ht="15.75" hidden="false" customHeight="true" outlineLevel="0" collapsed="false">
      <c r="A15" s="10" t="s">
        <v>162</v>
      </c>
      <c r="B15" s="42" t="n">
        <v>953596.8</v>
      </c>
      <c r="C15" s="43" t="n">
        <v>1557273.6</v>
      </c>
      <c r="D15" s="44" t="n">
        <v>2393971.2</v>
      </c>
      <c r="E15" s="44" t="n">
        <v>3898886.4</v>
      </c>
      <c r="F15" s="44" t="n">
        <v>15376003.2</v>
      </c>
    </row>
    <row r="16" customFormat="false" ht="15.75" hidden="false" customHeight="true" outlineLevel="0" collapsed="false">
      <c r="A16" s="10" t="s">
        <v>163</v>
      </c>
      <c r="B16" s="42" t="n">
        <v>899164.8</v>
      </c>
      <c r="C16" s="43" t="n">
        <v>1476921.6</v>
      </c>
      <c r="D16" s="44" t="n">
        <v>2281219.2</v>
      </c>
      <c r="E16" s="44" t="n">
        <v>3730406.4</v>
      </c>
      <c r="F16" s="44" t="n">
        <v>14827017.6</v>
      </c>
    </row>
    <row r="17" customFormat="false" ht="15.75" hidden="false" customHeight="true" outlineLevel="0" collapsed="false">
      <c r="A17" s="10" t="s">
        <v>164</v>
      </c>
      <c r="B17" s="42" t="n">
        <v>849657.6</v>
      </c>
      <c r="C17" s="43" t="n">
        <v>1403308.8</v>
      </c>
      <c r="D17" s="44" t="n">
        <v>2178057.6</v>
      </c>
      <c r="E17" s="44" t="n">
        <v>3574886.4</v>
      </c>
      <c r="F17" s="44" t="n">
        <v>14316912</v>
      </c>
    </row>
    <row r="18" customFormat="false" ht="15.75" hidden="false" customHeight="true" outlineLevel="0" collapsed="false">
      <c r="A18" s="10" t="s">
        <v>165</v>
      </c>
      <c r="B18" s="42" t="n">
        <v>805593.6</v>
      </c>
      <c r="C18" s="43" t="n">
        <v>1337472</v>
      </c>
      <c r="D18" s="43" t="n">
        <v>2084227.2</v>
      </c>
      <c r="E18" s="44" t="n">
        <v>3432067.2</v>
      </c>
      <c r="F18" s="44" t="n">
        <v>13839984</v>
      </c>
    </row>
  </sheetData>
  <mergeCells count="3">
    <mergeCell ref="A1:G1"/>
    <mergeCell ref="A2:G2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2026-08-31T13:49:06Z</dcterms:created>
  <dc:creator>openpyxl</dc:creator>
  <dc:description/>
  <dc:language>en-US</dc:language>
  <cp:lastModifiedBy/>
  <dcterms:modified xsi:type="dcterms:W3CDTF">2026-08-31T13:51:00Z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